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ntrats_Fournisseurs" sheetId="1" state="visible" r:id="rId1"/>
    <sheet name="Licences_Logicielles" sheetId="2" state="visible" r:id="rId2"/>
    <sheet name="Certificats" sheetId="3" state="visible" r:id="rId3"/>
    <sheet name="Materiels" sheetId="4" state="visible" r:id="rId4"/>
    <sheet name="Applications" sheetId="5" state="visible" r:id="rId5"/>
    <sheet name="Planning_Renouvellement" sheetId="6" state="visible" r:id="rId6"/>
    <sheet name="Dashboard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3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</cols>
  <sheetData>
    <row r="1">
      <c r="A1" s="1" t="inlineStr">
        <is>
          <t>Contrats fournisseurs</t>
        </is>
      </c>
    </row>
    <row r="2"/>
    <row r="3">
      <c r="A3" s="2" t="inlineStr">
        <is>
          <t>Référence contrat</t>
        </is>
      </c>
      <c r="B3" s="2" t="inlineStr">
        <is>
          <t>Réf. marché</t>
        </is>
      </c>
      <c r="C3" s="2" t="inlineStr">
        <is>
          <t>Fournisseur</t>
        </is>
      </c>
      <c r="D3" s="2" t="inlineStr">
        <is>
          <t>Contact</t>
        </is>
      </c>
      <c r="E3" s="2" t="inlineStr">
        <is>
          <t>Email support</t>
        </is>
      </c>
      <c r="F3" s="2" t="inlineStr">
        <is>
          <t>Téléphone</t>
        </is>
      </c>
      <c r="G3" s="2" t="inlineStr">
        <is>
          <t>Site web</t>
        </is>
      </c>
      <c r="H3" s="2" t="inlineStr">
        <is>
          <t>Type de contrat</t>
        </is>
      </c>
      <c r="I3" s="2" t="inlineStr">
        <is>
          <t>Périmètre</t>
        </is>
      </c>
      <c r="J3" s="2" t="inlineStr">
        <is>
          <t>Responsable interne</t>
        </is>
      </c>
      <c r="K3" s="2" t="inlineStr">
        <is>
          <t>Date de début</t>
        </is>
      </c>
      <c r="L3" s="2" t="inlineStr">
        <is>
          <t>Date de fin</t>
        </is>
      </c>
      <c r="M3" s="2" t="inlineStr">
        <is>
          <t>Préavis (jours)</t>
        </is>
      </c>
      <c r="N3" s="2" t="inlineStr">
        <is>
          <t>Montant annuel</t>
        </is>
      </c>
      <c r="O3" s="2" t="inlineStr">
        <is>
          <t>Devise</t>
        </is>
      </c>
      <c r="P3" s="2" t="inlineStr">
        <is>
          <t>Statut</t>
        </is>
      </c>
    </row>
    <row r="4">
      <c r="A4" t="inlineStr">
        <is>
          <t>CTR-2023-001</t>
        </is>
      </c>
      <c r="B4" t="inlineStr">
        <is>
          <t>AO-2023-12</t>
        </is>
      </c>
      <c r="C4" t="inlineStr">
        <is>
          <t>Microsoft France</t>
        </is>
      </c>
      <c r="D4" t="inlineStr">
        <is>
          <t>Julie Martin</t>
        </is>
      </c>
      <c r="E4" t="inlineStr">
        <is>
          <t>support@microsoft.fr</t>
        </is>
      </c>
      <c r="F4" t="inlineStr">
        <is>
          <t>01 23 45 67 89</t>
        </is>
      </c>
      <c r="G4" t="inlineStr">
        <is>
          <t>https://microsoft.com</t>
        </is>
      </c>
      <c r="H4" t="inlineStr">
        <is>
          <t>SaaS</t>
        </is>
      </c>
      <c r="I4" t="inlineStr">
        <is>
          <t>Microsoft 365 &amp; Azure AD</t>
        </is>
      </c>
      <c r="J4" t="inlineStr">
        <is>
          <t>DSI - Poste de travail</t>
        </is>
      </c>
      <c r="K4" s="3" t="n">
        <v>45597</v>
      </c>
      <c r="L4" s="3" t="n">
        <v>46322</v>
      </c>
      <c r="M4" t="n">
        <v>90</v>
      </c>
      <c r="N4" t="n">
        <v>185000</v>
      </c>
      <c r="O4" t="inlineStr">
        <is>
          <t>EUR</t>
        </is>
      </c>
      <c r="P4" t="inlineStr">
        <is>
          <t>Actif</t>
        </is>
      </c>
    </row>
    <row r="5">
      <c r="A5" t="inlineStr">
        <is>
          <t>CTR-2022-014</t>
        </is>
      </c>
      <c r="B5" t="inlineStr">
        <is>
          <t>MAPA-2022-08</t>
        </is>
      </c>
      <c r="C5" t="inlineStr">
        <is>
          <t>Oracle</t>
        </is>
      </c>
      <c r="D5" t="inlineStr">
        <is>
          <t>Paul Durand</t>
        </is>
      </c>
      <c r="E5" t="inlineStr">
        <is>
          <t>support@oracle.com</t>
        </is>
      </c>
      <c r="F5" t="inlineStr">
        <is>
          <t>01 40 00 00 00</t>
        </is>
      </c>
      <c r="G5" t="inlineStr">
        <is>
          <t>https://oracle.com</t>
        </is>
      </c>
      <c r="H5" t="inlineStr">
        <is>
          <t>Maintenance corrective/évolutive</t>
        </is>
      </c>
      <c r="I5" t="inlineStr">
        <is>
          <t>Support Oracle Database EE</t>
        </is>
      </c>
      <c r="J5" t="inlineStr">
        <is>
          <t>DSI - Infrastructure</t>
        </is>
      </c>
      <c r="K5" s="3" t="n">
        <v>45297</v>
      </c>
      <c r="L5" s="3" t="n">
        <v>46372</v>
      </c>
      <c r="M5" t="n">
        <v>180</v>
      </c>
      <c r="N5" t="n">
        <v>96000</v>
      </c>
      <c r="O5" t="inlineStr">
        <is>
          <t>EUR</t>
        </is>
      </c>
      <c r="P5" t="inlineStr">
        <is>
          <t>Actif</t>
        </is>
      </c>
    </row>
    <row r="6">
      <c r="A6" t="inlineStr">
        <is>
          <t>CTR-2024-003</t>
        </is>
      </c>
      <c r="B6" t="inlineStr">
        <is>
          <t>AO-2024-02</t>
        </is>
      </c>
      <c r="C6" t="inlineStr">
        <is>
          <t>Dell Technologies</t>
        </is>
      </c>
      <c r="D6" t="inlineStr">
        <is>
          <t>Marc Leroy</t>
        </is>
      </c>
      <c r="E6" t="inlineStr">
        <is>
          <t>pro.support@dell.com</t>
        </is>
      </c>
      <c r="F6" t="inlineStr">
        <is>
          <t>0 825 00 00 00</t>
        </is>
      </c>
      <c r="G6" t="inlineStr">
        <is>
          <t>https://dell.com</t>
        </is>
      </c>
      <c r="H6" t="inlineStr">
        <is>
          <t>Support constructeur</t>
        </is>
      </c>
      <c r="I6" t="inlineStr">
        <is>
          <t>ProSupport serveurs PowerEdge</t>
        </is>
      </c>
      <c r="J6" t="inlineStr">
        <is>
          <t>DSI - Infrastructure</t>
        </is>
      </c>
      <c r="K6" s="3" t="n">
        <v>45897</v>
      </c>
      <c r="L6" s="3" t="n">
        <v>46627</v>
      </c>
      <c r="M6" t="n">
        <v>60</v>
      </c>
      <c r="N6" t="n">
        <v>42000</v>
      </c>
      <c r="O6" t="inlineStr">
        <is>
          <t>EUR</t>
        </is>
      </c>
      <c r="P6" t="inlineStr">
        <is>
          <t>Actif</t>
        </is>
      </c>
    </row>
    <row r="7">
      <c r="A7" t="inlineStr">
        <is>
          <t>CTR-2021-007</t>
        </is>
      </c>
      <c r="B7" t="inlineStr">
        <is>
          <t>AO-2021-05</t>
        </is>
      </c>
      <c r="C7" t="inlineStr">
        <is>
          <t>Sopra Steria</t>
        </is>
      </c>
      <c r="D7" t="inlineStr">
        <is>
          <t>Claire Bernard</t>
        </is>
      </c>
      <c r="E7" t="inlineStr">
        <is>
          <t>tma@soprasteria.com</t>
        </is>
      </c>
      <c r="F7" t="inlineStr">
        <is>
          <t>01 55 00 00 00</t>
        </is>
      </c>
      <c r="G7" t="inlineStr">
        <is>
          <t>https://soprasteria.com</t>
        </is>
      </c>
      <c r="H7" t="inlineStr">
        <is>
          <t>Prestation</t>
        </is>
      </c>
      <c r="I7" t="inlineStr">
        <is>
          <t>TMA applications métier RH/Finance</t>
        </is>
      </c>
      <c r="J7" t="inlineStr">
        <is>
          <t>DSI - Études</t>
        </is>
      </c>
      <c r="K7" s="3" t="n">
        <v>44697</v>
      </c>
      <c r="L7" s="3" t="n">
        <v>46282</v>
      </c>
      <c r="M7" t="n">
        <v>120</v>
      </c>
      <c r="N7" t="n">
        <v>310000</v>
      </c>
      <c r="O7" t="inlineStr">
        <is>
          <t>EUR</t>
        </is>
      </c>
      <c r="P7" t="inlineStr">
        <is>
          <t>En renouvellement</t>
        </is>
      </c>
    </row>
    <row r="8">
      <c r="A8" t="inlineStr">
        <is>
          <t>CTR-2024-011</t>
        </is>
      </c>
      <c r="B8" t="inlineStr">
        <is>
          <t>UGAP-2024-01</t>
        </is>
      </c>
      <c r="C8" t="inlineStr">
        <is>
          <t>OVHcloud</t>
        </is>
      </c>
      <c r="D8" t="inlineStr">
        <is>
          <t>Service client</t>
        </is>
      </c>
      <c r="E8" t="inlineStr">
        <is>
          <t>support@ovhcloud.com</t>
        </is>
      </c>
      <c r="F8" t="inlineStr">
        <is>
          <t>1007</t>
        </is>
      </c>
      <c r="G8" t="inlineStr">
        <is>
          <t>https://ovhcloud.com</t>
        </is>
      </c>
      <c r="H8" t="inlineStr">
        <is>
          <t>Hébergement Cloud</t>
        </is>
      </c>
      <c r="I8" t="inlineStr">
        <is>
          <t>Hébergement plateforme web publique</t>
        </is>
      </c>
      <c r="J8" t="inlineStr">
        <is>
          <t>DSI - Infrastructure</t>
        </is>
      </c>
      <c r="K8" s="3" t="n">
        <v>46097</v>
      </c>
      <c r="L8" s="3" t="n">
        <v>46827</v>
      </c>
      <c r="M8" t="n">
        <v>90</v>
      </c>
      <c r="N8" t="n">
        <v>54000</v>
      </c>
      <c r="O8" t="inlineStr">
        <is>
          <t>EUR</t>
        </is>
      </c>
      <c r="P8" t="inlineStr">
        <is>
          <t>Actif</t>
        </is>
      </c>
    </row>
    <row r="9">
      <c r="A9" t="inlineStr">
        <is>
          <t>CTR-2023-019</t>
        </is>
      </c>
      <c r="B9" t="inlineStr">
        <is>
          <t>MAPA-2023-11</t>
        </is>
      </c>
      <c r="C9" t="inlineStr">
        <is>
          <t>Adobe</t>
        </is>
      </c>
      <c r="D9" t="inlineStr">
        <is>
          <t>Service entreprise</t>
        </is>
      </c>
      <c r="E9" t="inlineStr">
        <is>
          <t>entreprise@adobe.com</t>
        </is>
      </c>
      <c r="F9" t="inlineStr"/>
      <c r="G9" t="inlineStr">
        <is>
          <t>https://adobe.com</t>
        </is>
      </c>
      <c r="H9" t="inlineStr">
        <is>
          <t>SaaS</t>
        </is>
      </c>
      <c r="I9" t="inlineStr">
        <is>
          <t>Adobe Creative Cloud équipes communication</t>
        </is>
      </c>
      <c r="J9" t="inlineStr">
        <is>
          <t>Direction Communication</t>
        </is>
      </c>
      <c r="K9" s="3" t="n">
        <v>45997</v>
      </c>
      <c r="L9" s="3" t="n">
        <v>46309</v>
      </c>
      <c r="M9" t="n">
        <v>30</v>
      </c>
      <c r="N9" t="n">
        <v>18500</v>
      </c>
      <c r="O9" t="inlineStr">
        <is>
          <t>EUR</t>
        </is>
      </c>
      <c r="P9" t="inlineStr">
        <is>
          <t>Actif</t>
        </is>
      </c>
    </row>
    <row r="10">
      <c r="A10" t="inlineStr">
        <is>
          <t>CTR-2022-021</t>
        </is>
      </c>
      <c r="B10" t="inlineStr">
        <is>
          <t>AO-2022-09</t>
        </is>
      </c>
      <c r="C10" t="inlineStr">
        <is>
          <t>Cisco Systems</t>
        </is>
      </c>
      <c r="D10" t="inlineStr">
        <is>
          <t>Nicolas Petit</t>
        </is>
      </c>
      <c r="E10" t="inlineStr">
        <is>
          <t>tac@cisco.com</t>
        </is>
      </c>
      <c r="F10" t="inlineStr">
        <is>
          <t>0800 00 00 00</t>
        </is>
      </c>
      <c r="G10" t="inlineStr">
        <is>
          <t>https://cisco.com</t>
        </is>
      </c>
      <c r="H10" t="inlineStr">
        <is>
          <t>Support constructeur</t>
        </is>
      </c>
      <c r="I10" t="inlineStr">
        <is>
          <t>SmartNet équipements réseau cœur</t>
        </is>
      </c>
      <c r="J10" t="inlineStr">
        <is>
          <t>DSI - Réseau</t>
        </is>
      </c>
      <c r="K10" s="3" t="n">
        <v>45397</v>
      </c>
      <c r="L10" s="3" t="n">
        <v>46457</v>
      </c>
      <c r="M10" t="n">
        <v>90</v>
      </c>
      <c r="N10" t="n">
        <v>67000</v>
      </c>
      <c r="O10" t="inlineStr">
        <is>
          <t>EUR</t>
        </is>
      </c>
      <c r="P10" t="inlineStr">
        <is>
          <t>Actif</t>
        </is>
      </c>
    </row>
    <row r="11">
      <c r="A11" t="inlineStr">
        <is>
          <t>CTR-2024-025</t>
        </is>
      </c>
      <c r="B11" t="inlineStr"/>
      <c r="C11" t="inlineStr">
        <is>
          <t>Sectigo</t>
        </is>
      </c>
      <c r="D11" t="inlineStr"/>
      <c r="E11" t="inlineStr">
        <is>
          <t>support@sectigo.com</t>
        </is>
      </c>
      <c r="F11" t="inlineStr"/>
      <c r="G11" t="inlineStr">
        <is>
          <t>https://sectigo.com</t>
        </is>
      </c>
      <c r="H11" t="inlineStr">
        <is>
          <t>SaaS</t>
        </is>
      </c>
      <c r="I11" t="inlineStr">
        <is>
          <t>Certificats SSL/TLS publics</t>
        </is>
      </c>
      <c r="J11" t="inlineStr">
        <is>
          <t>RSSI</t>
        </is>
      </c>
      <c r="K11" s="3" t="n">
        <v>46047</v>
      </c>
      <c r="L11" s="3" t="n">
        <v>46407</v>
      </c>
      <c r="M11" t="n">
        <v>30</v>
      </c>
      <c r="N11" t="n">
        <v>6200</v>
      </c>
      <c r="O11" t="inlineStr">
        <is>
          <t>EUR</t>
        </is>
      </c>
      <c r="P11" t="inlineStr">
        <is>
          <t>Actif</t>
        </is>
      </c>
    </row>
    <row r="12">
      <c r="A12" t="inlineStr">
        <is>
          <t>CTR-2020-002</t>
        </is>
      </c>
      <c r="B12" t="inlineStr">
        <is>
          <t>AO-2020-01</t>
        </is>
      </c>
      <c r="C12" t="inlineStr">
        <is>
          <t>SAP France</t>
        </is>
      </c>
      <c r="D12" t="inlineStr">
        <is>
          <t>Isabelle Moreau</t>
        </is>
      </c>
      <c r="E12" t="inlineStr">
        <is>
          <t>support@sap.com</t>
        </is>
      </c>
      <c r="F12" t="inlineStr">
        <is>
          <t>01 46 00 00 00</t>
        </is>
      </c>
      <c r="G12" t="inlineStr">
        <is>
          <t>https://sap.com</t>
        </is>
      </c>
      <c r="H12" t="inlineStr">
        <is>
          <t>Maintenance corrective/évolutive</t>
        </is>
      </c>
      <c r="I12" t="inlineStr">
        <is>
          <t>Maintenance SAP ERP</t>
        </is>
      </c>
      <c r="J12" t="inlineStr">
        <is>
          <t>DSI - Études</t>
        </is>
      </c>
      <c r="K12" s="3" t="n">
        <v>44297</v>
      </c>
      <c r="L12" s="3" t="n">
        <v>46177</v>
      </c>
      <c r="M12" t="n">
        <v>180</v>
      </c>
      <c r="N12" t="n">
        <v>240000</v>
      </c>
      <c r="O12" t="inlineStr">
        <is>
          <t>EUR</t>
        </is>
      </c>
      <c r="P12" t="inlineStr">
        <is>
          <t>Expiré - renouvellement en cours</t>
        </is>
      </c>
    </row>
    <row r="13">
      <c r="A13" t="inlineStr">
        <is>
          <t>CTR-2025-004</t>
        </is>
      </c>
      <c r="B13" t="inlineStr">
        <is>
          <t>AO-2025-03</t>
        </is>
      </c>
      <c r="C13" t="inlineStr">
        <is>
          <t>Atlassian</t>
        </is>
      </c>
      <c r="D13" t="inlineStr"/>
      <c r="E13" t="inlineStr">
        <is>
          <t>support@atlassian.com</t>
        </is>
      </c>
      <c r="F13" t="inlineStr"/>
      <c r="G13" t="inlineStr">
        <is>
          <t>https://atlassian.com</t>
        </is>
      </c>
      <c r="H13" t="inlineStr">
        <is>
          <t>SaaS</t>
        </is>
      </c>
      <c r="I13" t="inlineStr">
        <is>
          <t>Jira / Confluence Cloud</t>
        </is>
      </c>
      <c r="J13" t="inlineStr">
        <is>
          <t>DSI - Études</t>
        </is>
      </c>
      <c r="K13" s="3" t="n">
        <v>46197</v>
      </c>
      <c r="L13" s="3" t="n">
        <v>46562</v>
      </c>
      <c r="M13" t="n">
        <v>60</v>
      </c>
      <c r="N13" t="n">
        <v>28000</v>
      </c>
      <c r="O13" t="inlineStr">
        <is>
          <t>EUR</t>
        </is>
      </c>
      <c r="P13" t="inlineStr">
        <is>
          <t>Actif</t>
        </is>
      </c>
    </row>
    <row r="14">
      <c r="A14" t="inlineStr">
        <is>
          <t>CTR-2023-019</t>
        </is>
      </c>
      <c r="B14" t="inlineStr">
        <is>
          <t>DOUBLON</t>
        </is>
      </c>
      <c r="C14" t="inlineStr">
        <is>
          <t>Adobe</t>
        </is>
      </c>
      <c r="D14" t="inlineStr"/>
      <c r="E14" t="inlineStr"/>
      <c r="F14" t="inlineStr"/>
      <c r="G14" t="inlineStr"/>
      <c r="H14" t="inlineStr">
        <is>
          <t>SaaS</t>
        </is>
      </c>
      <c r="I14" t="inlineStr">
        <is>
          <t>Ligne en doublon volontaire</t>
        </is>
      </c>
      <c r="J14" t="inlineStr"/>
      <c r="K14" s="3" t="n">
        <v>45997</v>
      </c>
      <c r="L14" s="3" t="n">
        <v>46309</v>
      </c>
      <c r="M14" t="n">
        <v>30</v>
      </c>
      <c r="N14" t="n">
        <v>18500</v>
      </c>
      <c r="O14" t="inlineStr">
        <is>
          <t>EUR</t>
        </is>
      </c>
      <c r="P14" t="inlineStr">
        <is>
          <t>Actif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2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  <col width="20" customWidth="1" min="17" max="17"/>
  </cols>
  <sheetData>
    <row r="1">
      <c r="A1" s="1" t="inlineStr">
        <is>
          <t>Suivi des licences logicielles</t>
        </is>
      </c>
    </row>
    <row r="2"/>
    <row r="3">
      <c r="A3" s="2" t="inlineStr">
        <is>
          <t>Réf.</t>
        </is>
      </c>
      <c r="B3" s="2" t="inlineStr">
        <is>
          <t>Logiciel</t>
        </is>
      </c>
      <c r="C3" s="2" t="inlineStr">
        <is>
          <t>Editeur</t>
        </is>
      </c>
      <c r="D3" s="2" t="inlineStr">
        <is>
          <t>Type de licence</t>
        </is>
      </c>
      <c r="E3" s="2" t="inlineStr">
        <is>
          <t>Clé de licence</t>
        </is>
      </c>
      <c r="F3" s="2" t="inlineStr">
        <is>
          <t>Nb licences</t>
        </is>
      </c>
      <c r="G3" s="2" t="inlineStr">
        <is>
          <t>Utilisées</t>
        </is>
      </c>
      <c r="H3" s="2" t="inlineStr">
        <is>
          <t>Contrat</t>
        </is>
      </c>
      <c r="I3" s="2" t="inlineStr">
        <is>
          <t>Responsable</t>
        </is>
      </c>
      <c r="J3" s="2" t="inlineStr">
        <is>
          <t>Direction</t>
        </is>
      </c>
      <c r="K3" s="2" t="inlineStr">
        <is>
          <t>Date de début</t>
        </is>
      </c>
      <c r="L3" s="2" t="inlineStr">
        <is>
          <t>Date d'expiration</t>
        </is>
      </c>
      <c r="M3" s="4" t="inlineStr">
        <is>
          <t>Jours restants</t>
        </is>
      </c>
      <c r="N3" s="4" t="inlineStr">
        <is>
          <t>Statut</t>
        </is>
      </c>
      <c r="O3" s="2" t="inlineStr">
        <is>
          <t>Criticité</t>
        </is>
      </c>
      <c r="P3" s="2" t="inlineStr">
        <is>
          <t>Coût annuel (€)</t>
        </is>
      </c>
      <c r="Q3" s="2" t="inlineStr">
        <is>
          <t>Budget estimé (€)</t>
        </is>
      </c>
      <c r="R3" s="2" t="inlineStr">
        <is>
          <t>Plan d'action</t>
        </is>
      </c>
      <c r="S3" s="2" t="inlineStr">
        <is>
          <t>Observations</t>
        </is>
      </c>
    </row>
    <row r="4">
      <c r="A4" t="inlineStr">
        <is>
          <t>LIC-001</t>
        </is>
      </c>
      <c r="B4" t="inlineStr">
        <is>
          <t>Microsoft 365 E3</t>
        </is>
      </c>
      <c r="C4" t="inlineStr">
        <is>
          <t>Microsoft France</t>
        </is>
      </c>
      <c r="D4" t="inlineStr">
        <is>
          <t>Souscription</t>
        </is>
      </c>
      <c r="E4" t="inlineStr"/>
      <c r="F4" t="n">
        <v>1200</v>
      </c>
      <c r="G4" t="n">
        <v>1085</v>
      </c>
      <c r="H4" t="inlineStr">
        <is>
          <t>CTR-2023-001</t>
        </is>
      </c>
      <c r="I4" t="inlineStr">
        <is>
          <t>J. Martin</t>
        </is>
      </c>
      <c r="J4" t="inlineStr">
        <is>
          <t>Toutes directions</t>
        </is>
      </c>
      <c r="K4" s="3" t="n">
        <v>45957</v>
      </c>
      <c r="L4" s="3" t="n">
        <v>46322</v>
      </c>
      <c r="M4">
        <f>IF(L4="","",L4-TODAY())</f>
        <v/>
      </c>
      <c r="N4">
        <f>IF(L4="","",IF(L4-TODAY()&lt;=0,"EXPIRÉ",IF(L4-TODAY()&lt;=30,"CRITIQUE",IF(L4-TODAY()&lt;=90,"ALERTE","OK"))))</f>
        <v/>
      </c>
      <c r="O4" t="inlineStr">
        <is>
          <t>Critique</t>
        </is>
      </c>
      <c r="P4" t="n">
        <v>165000</v>
      </c>
      <c r="Q4" t="n">
        <v>170000</v>
      </c>
      <c r="R4" t="inlineStr">
        <is>
          <t>Lancer le renouvellement EA</t>
        </is>
      </c>
      <c r="S4" t="inlineStr"/>
    </row>
    <row r="5">
      <c r="A5" t="inlineStr">
        <is>
          <t>LIC-002</t>
        </is>
      </c>
      <c r="B5" t="inlineStr">
        <is>
          <t>Windows Server Datacenter</t>
        </is>
      </c>
      <c r="C5" t="inlineStr">
        <is>
          <t>Microsoft France</t>
        </is>
      </c>
      <c r="D5" t="inlineStr">
        <is>
          <t>Perpétuelle avec abonnement</t>
        </is>
      </c>
      <c r="E5" t="inlineStr">
        <is>
          <t>XXXXX-XXXXX-WS22</t>
        </is>
      </c>
      <c r="F5" t="n">
        <v>40</v>
      </c>
      <c r="G5" t="n">
        <v>32</v>
      </c>
      <c r="H5" t="inlineStr">
        <is>
          <t>CTR-2023-001</t>
        </is>
      </c>
      <c r="I5" t="inlineStr">
        <is>
          <t>P. Durand</t>
        </is>
      </c>
      <c r="J5" t="inlineStr">
        <is>
          <t>DSI</t>
        </is>
      </c>
      <c r="K5" s="3" t="n">
        <v>45597</v>
      </c>
      <c r="L5" s="3" t="n">
        <v>46322</v>
      </c>
      <c r="M5">
        <f>IF(L5="","",L5-TODAY())</f>
        <v/>
      </c>
      <c r="N5">
        <f>IF(L5="","",IF(L5-TODAY()&lt;=0,"EXPIRÉ",IF(L5-TODAY()&lt;=30,"CRITIQUE",IF(L5-TODAY()&lt;=90,"ALERTE","OK"))))</f>
        <v/>
      </c>
      <c r="O5" t="inlineStr">
        <is>
          <t>Haute</t>
        </is>
      </c>
      <c r="P5" t="n">
        <v>20000</v>
      </c>
      <c r="Q5" t="n">
        <v>21000</v>
      </c>
      <c r="R5" t="inlineStr"/>
      <c r="S5" t="inlineStr"/>
    </row>
    <row r="6">
      <c r="A6" t="inlineStr">
        <is>
          <t>LIC-003</t>
        </is>
      </c>
      <c r="B6" t="inlineStr">
        <is>
          <t>Oracle Database Enterprise</t>
        </is>
      </c>
      <c r="C6" t="inlineStr">
        <is>
          <t>Oracle</t>
        </is>
      </c>
      <c r="D6" t="inlineStr">
        <is>
          <t>Nommée</t>
        </is>
      </c>
      <c r="E6" t="inlineStr"/>
      <c r="F6" t="n">
        <v>16</v>
      </c>
      <c r="G6" t="n">
        <v>16</v>
      </c>
      <c r="H6" t="inlineStr">
        <is>
          <t>CTR-2022-014</t>
        </is>
      </c>
      <c r="I6" t="inlineStr">
        <is>
          <t>P. Durand</t>
        </is>
      </c>
      <c r="J6" t="inlineStr">
        <is>
          <t>DSI</t>
        </is>
      </c>
      <c r="K6" s="3" t="n">
        <v>45297</v>
      </c>
      <c r="L6" s="3" t="n">
        <v>46372</v>
      </c>
      <c r="M6">
        <f>IF(L6="","",L6-TODAY())</f>
        <v/>
      </c>
      <c r="N6">
        <f>IF(L6="","",IF(L6-TODAY()&lt;=0,"EXPIRÉ",IF(L6-TODAY()&lt;=30,"CRITIQUE",IF(L6-TODAY()&lt;=90,"ALERTE","OK"))))</f>
        <v/>
      </c>
      <c r="O6" t="inlineStr">
        <is>
          <t>Critique</t>
        </is>
      </c>
      <c r="P6" t="n">
        <v>96000</v>
      </c>
      <c r="Q6" t="n">
        <v>99000</v>
      </c>
      <c r="R6" t="inlineStr">
        <is>
          <t>Audit des cœurs avant renouvellement</t>
        </is>
      </c>
      <c r="S6" t="inlineStr">
        <is>
          <t>Licences processeur</t>
        </is>
      </c>
    </row>
    <row r="7">
      <c r="A7" t="inlineStr">
        <is>
          <t>LIC-004</t>
        </is>
      </c>
      <c r="B7" t="inlineStr">
        <is>
          <t>Adobe Creative Cloud</t>
        </is>
      </c>
      <c r="C7" t="inlineStr">
        <is>
          <t>Adobe</t>
        </is>
      </c>
      <c r="D7" t="inlineStr">
        <is>
          <t>Souscription</t>
        </is>
      </c>
      <c r="E7" t="inlineStr"/>
      <c r="F7" t="n">
        <v>25</v>
      </c>
      <c r="G7" t="n">
        <v>19</v>
      </c>
      <c r="H7" t="inlineStr">
        <is>
          <t>CTR-2023-019</t>
        </is>
      </c>
      <c r="I7" t="inlineStr">
        <is>
          <t>S. Laurent</t>
        </is>
      </c>
      <c r="J7" t="inlineStr">
        <is>
          <t>Direction Communication</t>
        </is>
      </c>
      <c r="K7" s="3" t="n">
        <v>45997</v>
      </c>
      <c r="L7" s="3" t="n">
        <v>46309</v>
      </c>
      <c r="M7">
        <f>IF(L7="","",L7-TODAY())</f>
        <v/>
      </c>
      <c r="N7">
        <f>IF(L7="","",IF(L7-TODAY()&lt;=0,"EXPIRÉ",IF(L7-TODAY()&lt;=30,"CRITIQUE",IF(L7-TODAY()&lt;=90,"ALERTE","OK"))))</f>
        <v/>
      </c>
      <c r="O7" t="inlineStr">
        <is>
          <t>Moyenne</t>
        </is>
      </c>
      <c r="P7" t="n">
        <v>18500</v>
      </c>
      <c r="Q7" t="n">
        <v>19000</v>
      </c>
      <c r="R7" t="inlineStr"/>
      <c r="S7" t="inlineStr"/>
    </row>
    <row r="8">
      <c r="A8" t="inlineStr">
        <is>
          <t>LIC-005</t>
        </is>
      </c>
      <c r="B8" t="inlineStr">
        <is>
          <t>Jira Software Cloud</t>
        </is>
      </c>
      <c r="C8" t="inlineStr">
        <is>
          <t>Atlassian</t>
        </is>
      </c>
      <c r="D8" t="inlineStr">
        <is>
          <t>Souscription</t>
        </is>
      </c>
      <c r="E8" t="inlineStr"/>
      <c r="F8" t="n">
        <v>300</v>
      </c>
      <c r="G8" t="n">
        <v>248</v>
      </c>
      <c r="H8" t="inlineStr">
        <is>
          <t>CTR-2025-004</t>
        </is>
      </c>
      <c r="I8" t="inlineStr">
        <is>
          <t>A. Roux</t>
        </is>
      </c>
      <c r="J8" t="inlineStr">
        <is>
          <t>DSI</t>
        </is>
      </c>
      <c r="K8" s="3" t="n">
        <v>46197</v>
      </c>
      <c r="L8" s="3" t="n">
        <v>46562</v>
      </c>
      <c r="M8">
        <f>IF(L8="","",L8-TODAY())</f>
        <v/>
      </c>
      <c r="N8">
        <f>IF(L8="","",IF(L8-TODAY()&lt;=0,"EXPIRÉ",IF(L8-TODAY()&lt;=30,"CRITIQUE",IF(L8-TODAY()&lt;=90,"ALERTE","OK"))))</f>
        <v/>
      </c>
      <c r="O8" t="inlineStr">
        <is>
          <t>Haute</t>
        </is>
      </c>
      <c r="P8" t="n">
        <v>21000</v>
      </c>
      <c r="Q8" t="n">
        <v>22000</v>
      </c>
      <c r="R8" t="inlineStr"/>
      <c r="S8" t="inlineStr"/>
    </row>
    <row r="9">
      <c r="A9" t="inlineStr">
        <is>
          <t>LIC-006</t>
        </is>
      </c>
      <c r="B9" t="inlineStr">
        <is>
          <t>Confluence Cloud</t>
        </is>
      </c>
      <c r="C9" t="inlineStr">
        <is>
          <t>Atlassian</t>
        </is>
      </c>
      <c r="D9" t="inlineStr">
        <is>
          <t>Souscription</t>
        </is>
      </c>
      <c r="E9" t="inlineStr"/>
      <c r="F9" t="n">
        <v>300</v>
      </c>
      <c r="G9" t="n">
        <v>210</v>
      </c>
      <c r="H9" t="inlineStr">
        <is>
          <t>CTR-2025-004</t>
        </is>
      </c>
      <c r="I9" t="inlineStr">
        <is>
          <t>A. Roux</t>
        </is>
      </c>
      <c r="J9" t="inlineStr">
        <is>
          <t>DSI</t>
        </is>
      </c>
      <c r="K9" s="3" t="n">
        <v>46197</v>
      </c>
      <c r="L9" s="3" t="n">
        <v>46562</v>
      </c>
      <c r="M9">
        <f>IF(L9="","",L9-TODAY())</f>
        <v/>
      </c>
      <c r="N9">
        <f>IF(L9="","",IF(L9-TODAY()&lt;=0,"EXPIRÉ",IF(L9-TODAY()&lt;=30,"CRITIQUE",IF(L9-TODAY()&lt;=90,"ALERTE","OK"))))</f>
        <v/>
      </c>
      <c r="O9" t="inlineStr">
        <is>
          <t>Moyenne</t>
        </is>
      </c>
      <c r="P9" t="n">
        <v>7000</v>
      </c>
      <c r="Q9" t="n">
        <v>7500</v>
      </c>
      <c r="R9" t="inlineStr"/>
      <c r="S9" t="inlineStr"/>
    </row>
    <row r="10">
      <c r="A10" t="inlineStr">
        <is>
          <t>LIC-007</t>
        </is>
      </c>
      <c r="B10" t="inlineStr">
        <is>
          <t>AutoCAD</t>
        </is>
      </c>
      <c r="C10" t="inlineStr">
        <is>
          <t>Autodesk</t>
        </is>
      </c>
      <c r="D10" t="inlineStr">
        <is>
          <t>Flottante</t>
        </is>
      </c>
      <c r="E10" t="inlineStr">
        <is>
          <t>AC-77-1234</t>
        </is>
      </c>
      <c r="F10" t="n">
        <v>12</v>
      </c>
      <c r="G10" t="n">
        <v>9</v>
      </c>
      <c r="H10" t="inlineStr"/>
      <c r="I10" t="inlineStr">
        <is>
          <t>M. Fabre</t>
        </is>
      </c>
      <c r="J10" t="inlineStr">
        <is>
          <t>Direction Patrimoine</t>
        </is>
      </c>
      <c r="K10" s="3" t="n">
        <v>46097</v>
      </c>
      <c r="L10" s="3" t="n">
        <v>46342</v>
      </c>
      <c r="M10">
        <f>IF(L10="","",L10-TODAY())</f>
        <v/>
      </c>
      <c r="N10">
        <f>IF(L10="","",IF(L10-TODAY()&lt;=0,"EXPIRÉ",IF(L10-TODAY()&lt;=30,"CRITIQUE",IF(L10-TODAY()&lt;=90,"ALERTE","OK"))))</f>
        <v/>
      </c>
      <c r="O10" t="inlineStr">
        <is>
          <t>Moyenne</t>
        </is>
      </c>
      <c r="P10" t="n">
        <v>24000</v>
      </c>
      <c r="Q10" t="n">
        <v>25000</v>
      </c>
      <c r="R10" t="inlineStr">
        <is>
          <t>Évaluer passage licences nommées</t>
        </is>
      </c>
      <c r="S10" t="inlineStr"/>
    </row>
    <row r="11">
      <c r="A11" t="inlineStr">
        <is>
          <t>LIC-008</t>
        </is>
      </c>
      <c r="B11" t="inlineStr">
        <is>
          <t>Veeam Backup &amp; Replication</t>
        </is>
      </c>
      <c r="C11" t="inlineStr">
        <is>
          <t>Veeam</t>
        </is>
      </c>
      <c r="D11" t="inlineStr">
        <is>
          <t>Site</t>
        </is>
      </c>
      <c r="E11" t="inlineStr"/>
      <c r="F11" t="n">
        <v>1</v>
      </c>
      <c r="G11" t="n">
        <v>1</v>
      </c>
      <c r="H11" t="inlineStr"/>
      <c r="I11" t="inlineStr">
        <is>
          <t>P. Durand</t>
        </is>
      </c>
      <c r="J11" t="inlineStr">
        <is>
          <t>DSI</t>
        </is>
      </c>
      <c r="K11" s="3" t="n">
        <v>45797</v>
      </c>
      <c r="L11" s="3" t="n">
        <v>46287</v>
      </c>
      <c r="M11">
        <f>IF(L11="","",L11-TODAY())</f>
        <v/>
      </c>
      <c r="N11">
        <f>IF(L11="","",IF(L11-TODAY()&lt;=0,"EXPIRÉ",IF(L11-TODAY()&lt;=30,"CRITIQUE",IF(L11-TODAY()&lt;=90,"ALERTE","OK"))))</f>
        <v/>
      </c>
      <c r="O11" t="inlineStr">
        <is>
          <t>Critique</t>
        </is>
      </c>
      <c r="P11" t="n">
        <v>15000</v>
      </c>
      <c r="Q11" t="n">
        <v>15500</v>
      </c>
      <c r="R11" t="inlineStr">
        <is>
          <t>Commande en cours</t>
        </is>
      </c>
      <c r="S11" t="inlineStr">
        <is>
          <t>Licence expirée : risque sauvegardes</t>
        </is>
      </c>
    </row>
    <row r="12">
      <c r="A12" t="inlineStr">
        <is>
          <t>LIC-009</t>
        </is>
      </c>
      <c r="B12" t="inlineStr">
        <is>
          <t>VMware vSphere Enterprise Plus</t>
        </is>
      </c>
      <c r="C12" t="inlineStr">
        <is>
          <t>Broadcom</t>
        </is>
      </c>
      <c r="D12" t="inlineStr">
        <is>
          <t>Souscription</t>
        </is>
      </c>
      <c r="E12" t="inlineStr"/>
      <c r="F12" t="n">
        <v>64</v>
      </c>
      <c r="G12" t="n">
        <v>60</v>
      </c>
      <c r="H12" t="inlineStr"/>
      <c r="I12" t="inlineStr">
        <is>
          <t>P. Durand</t>
        </is>
      </c>
      <c r="J12" t="inlineStr">
        <is>
          <t>DSI</t>
        </is>
      </c>
      <c r="K12" s="3" t="n">
        <v>45932</v>
      </c>
      <c r="L12" s="3" t="n">
        <v>46437</v>
      </c>
      <c r="M12">
        <f>IF(L12="","",L12-TODAY())</f>
        <v/>
      </c>
      <c r="N12">
        <f>IF(L12="","",IF(L12-TODAY()&lt;=0,"EXPIRÉ",IF(L12-TODAY()&lt;=30,"CRITIQUE",IF(L12-TODAY()&lt;=90,"ALERTE","OK"))))</f>
        <v/>
      </c>
      <c r="O12" t="inlineStr">
        <is>
          <t>Critique</t>
        </is>
      </c>
      <c r="P12" t="n">
        <v>58000</v>
      </c>
      <c r="Q12" t="n">
        <v>75000</v>
      </c>
      <c r="R12" t="inlineStr">
        <is>
          <t>Étudier alternatives (Proxmox, Hyper-V)</t>
        </is>
      </c>
      <c r="S12" t="inlineStr">
        <is>
          <t>Hausse tarifaire Broadcom</t>
        </is>
      </c>
    </row>
    <row r="13">
      <c r="A13" t="inlineStr">
        <is>
          <t>LIC-010</t>
        </is>
      </c>
      <c r="B13" t="inlineStr">
        <is>
          <t>SAP ERP utilisateurs</t>
        </is>
      </c>
      <c r="C13" t="inlineStr">
        <is>
          <t>SAP France</t>
        </is>
      </c>
      <c r="D13" t="inlineStr">
        <is>
          <t>Nommée</t>
        </is>
      </c>
      <c r="E13" t="inlineStr"/>
      <c r="F13" t="n">
        <v>450</v>
      </c>
      <c r="G13" t="n">
        <v>432</v>
      </c>
      <c r="H13" t="inlineStr">
        <is>
          <t>CTR-2020-002</t>
        </is>
      </c>
      <c r="I13" t="inlineStr">
        <is>
          <t>I. Moreau</t>
        </is>
      </c>
      <c r="J13" t="inlineStr">
        <is>
          <t>Direction Financière</t>
        </is>
      </c>
      <c r="K13" s="3" t="n">
        <v>44297</v>
      </c>
      <c r="L13" s="3" t="n">
        <v>46177</v>
      </c>
      <c r="M13">
        <f>IF(L13="","",L13-TODAY())</f>
        <v/>
      </c>
      <c r="N13">
        <f>IF(L13="","",IF(L13-TODAY()&lt;=0,"EXPIRÉ",IF(L13-TODAY()&lt;=30,"CRITIQUE",IF(L13-TODAY()&lt;=90,"ALERTE","OK"))))</f>
        <v/>
      </c>
      <c r="O13" t="inlineStr">
        <is>
          <t>Critique</t>
        </is>
      </c>
      <c r="P13" t="n">
        <v>120000</v>
      </c>
      <c r="Q13" t="n">
        <v>130000</v>
      </c>
      <c r="R13" t="inlineStr">
        <is>
          <t>Avenant en négociation</t>
        </is>
      </c>
      <c r="S13" t="inlineStr"/>
    </row>
    <row r="14">
      <c r="A14" t="inlineStr">
        <is>
          <t>LIC-011</t>
        </is>
      </c>
      <c r="B14" t="inlineStr">
        <is>
          <t>Kaspersky Endpoint Security</t>
        </is>
      </c>
      <c r="C14" t="inlineStr">
        <is>
          <t>Kaspersky</t>
        </is>
      </c>
      <c r="D14" t="inlineStr">
        <is>
          <t>Souscription</t>
        </is>
      </c>
      <c r="E14" t="inlineStr"/>
      <c r="F14" t="n">
        <v>1300</v>
      </c>
      <c r="G14" t="n">
        <v>1150</v>
      </c>
      <c r="H14" t="inlineStr"/>
      <c r="I14" t="inlineStr">
        <is>
          <t>RSSI</t>
        </is>
      </c>
      <c r="J14" t="inlineStr">
        <is>
          <t>Toutes directions</t>
        </is>
      </c>
      <c r="K14" s="3" t="n">
        <v>45967</v>
      </c>
      <c r="L14" s="3" t="n">
        <v>46332</v>
      </c>
      <c r="M14">
        <f>IF(L14="","",L14-TODAY())</f>
        <v/>
      </c>
      <c r="N14">
        <f>IF(L14="","",IF(L14-TODAY()&lt;=0,"EXPIRÉ",IF(L14-TODAY()&lt;=30,"CRITIQUE",IF(L14-TODAY()&lt;=90,"ALERTE","OK"))))</f>
        <v/>
      </c>
      <c r="O14" t="inlineStr">
        <is>
          <t>Haute</t>
        </is>
      </c>
      <c r="P14" t="n">
        <v>22000</v>
      </c>
      <c r="Q14" t="n">
        <v>0</v>
      </c>
      <c r="R14" t="inlineStr">
        <is>
          <t>Migration vers Defender for Endpoint</t>
        </is>
      </c>
      <c r="S14" t="inlineStr"/>
    </row>
    <row r="15">
      <c r="A15" t="inlineStr">
        <is>
          <t>LIC-012</t>
        </is>
      </c>
      <c r="B15" t="inlineStr">
        <is>
          <t>Tableau Creator</t>
        </is>
      </c>
      <c r="C15" t="inlineStr">
        <is>
          <t>Salesforce</t>
        </is>
      </c>
      <c r="D15" t="inlineStr">
        <is>
          <t>Nommée</t>
        </is>
      </c>
      <c r="E15" t="inlineStr"/>
      <c r="F15" t="n">
        <v>10</v>
      </c>
      <c r="G15" t="n">
        <v>4</v>
      </c>
      <c r="H15" t="inlineStr"/>
      <c r="I15" t="inlineStr">
        <is>
          <t>B. Girard</t>
        </is>
      </c>
      <c r="J15" t="inlineStr">
        <is>
          <t>Direction Financière</t>
        </is>
      </c>
      <c r="K15" s="3" t="n">
        <v>46147</v>
      </c>
      <c r="L15" s="3" t="n">
        <v>46512</v>
      </c>
      <c r="M15">
        <f>IF(L15="","",L15-TODAY())</f>
        <v/>
      </c>
      <c r="N15">
        <f>IF(L15="","",IF(L15-TODAY()&lt;=0,"EXPIRÉ",IF(L15-TODAY()&lt;=30,"CRITIQUE",IF(L15-TODAY()&lt;=90,"ALERTE","OK"))))</f>
        <v/>
      </c>
      <c r="O15" t="inlineStr">
        <is>
          <t>Basse</t>
        </is>
      </c>
      <c r="P15" t="n">
        <v>9000</v>
      </c>
      <c r="Q15" t="n">
        <v>9000</v>
      </c>
      <c r="R15" t="inlineStr"/>
      <c r="S15" t="inlineStr">
        <is>
          <t>Sous-utilisée</t>
        </is>
      </c>
    </row>
    <row r="16">
      <c r="A16" t="inlineStr">
        <is>
          <t>LIC-013</t>
        </is>
      </c>
      <c r="B16" t="inlineStr">
        <is>
          <t>Zoom Workplace</t>
        </is>
      </c>
      <c r="C16" t="inlineStr">
        <is>
          <t>Zoom</t>
        </is>
      </c>
      <c r="D16" t="inlineStr">
        <is>
          <t>Souscription</t>
        </is>
      </c>
      <c r="E16" t="inlineStr"/>
      <c r="F16" t="n">
        <v>50</v>
      </c>
      <c r="G16" t="n">
        <v>12</v>
      </c>
      <c r="H16" t="inlineStr"/>
      <c r="I16" t="inlineStr">
        <is>
          <t>S. Laurent</t>
        </is>
      </c>
      <c r="J16" t="inlineStr">
        <is>
          <t>Direction Communication</t>
        </is>
      </c>
      <c r="K16" s="3" t="n">
        <v>45977</v>
      </c>
      <c r="L16" s="3" t="n">
        <v>46342</v>
      </c>
      <c r="M16">
        <f>IF(L16="","",L16-TODAY())</f>
        <v/>
      </c>
      <c r="N16">
        <f>IF(L16="","",IF(L16-TODAY()&lt;=0,"EXPIRÉ",IF(L16-TODAY()&lt;=30,"CRITIQUE",IF(L16-TODAY()&lt;=90,"ALERTE","OK"))))</f>
        <v/>
      </c>
      <c r="O16" t="inlineStr">
        <is>
          <t>Basse</t>
        </is>
      </c>
      <c r="P16" t="n">
        <v>7000</v>
      </c>
      <c r="Q16" t="n">
        <v>0</v>
      </c>
      <c r="R16" t="inlineStr">
        <is>
          <t>Non renouveler : bascule Teams</t>
        </is>
      </c>
      <c r="S16" t="inlineStr"/>
    </row>
    <row r="17">
      <c r="A17" t="inlineStr">
        <is>
          <t>LIC-014</t>
        </is>
      </c>
      <c r="B17" t="inlineStr">
        <is>
          <t>Visual Studio Enterprise</t>
        </is>
      </c>
      <c r="C17" t="inlineStr">
        <is>
          <t>Microsoft France</t>
        </is>
      </c>
      <c r="D17" t="inlineStr">
        <is>
          <t>Nommée</t>
        </is>
      </c>
      <c r="E17" t="inlineStr"/>
      <c r="F17" t="n">
        <v>20</v>
      </c>
      <c r="G17" t="n">
        <v>18</v>
      </c>
      <c r="H17" t="inlineStr">
        <is>
          <t>CTR-2023-001</t>
        </is>
      </c>
      <c r="I17" t="inlineStr">
        <is>
          <t>A. Roux</t>
        </is>
      </c>
      <c r="J17" t="inlineStr">
        <is>
          <t>DSI</t>
        </is>
      </c>
      <c r="K17" s="3" t="n">
        <v>45957</v>
      </c>
      <c r="L17" t="inlineStr">
        <is>
          <t>31/02/2027</t>
        </is>
      </c>
      <c r="M17">
        <f>IF(L17="","",L17-TODAY())</f>
        <v/>
      </c>
      <c r="N17">
        <f>IF(L17="","",IF(L17-TODAY()&lt;=0,"EXPIRÉ",IF(L17-TODAY()&lt;=30,"CRITIQUE",IF(L17-TODAY()&lt;=90,"ALERTE","OK"))))</f>
        <v/>
      </c>
      <c r="O17" t="inlineStr">
        <is>
          <t>Moyenne</t>
        </is>
      </c>
      <c r="P17" t="n">
        <v>50000</v>
      </c>
      <c r="Q17" t="n">
        <v>52000</v>
      </c>
      <c r="R17" t="inlineStr"/>
      <c r="S17" t="inlineStr">
        <is>
          <t>Date invalide volontaire</t>
        </is>
      </c>
    </row>
    <row r="18">
      <c r="A18" t="inlineStr">
        <is>
          <t>LIC-004</t>
        </is>
      </c>
      <c r="B18" t="inlineStr">
        <is>
          <t>Adobe Creative Cloud (doublon)</t>
        </is>
      </c>
      <c r="C18" t="inlineStr">
        <is>
          <t>Adobe</t>
        </is>
      </c>
      <c r="D18" t="inlineStr">
        <is>
          <t>Souscription</t>
        </is>
      </c>
      <c r="E18" t="inlineStr"/>
      <c r="F18" t="n">
        <v>25</v>
      </c>
      <c r="G18" t="n">
        <v>19</v>
      </c>
      <c r="H18" t="inlineStr">
        <is>
          <t>CTR-2023-019</t>
        </is>
      </c>
      <c r="I18" t="inlineStr"/>
      <c r="J18" t="inlineStr"/>
      <c r="K18" s="3" t="n">
        <v>45997</v>
      </c>
      <c r="L18" s="3" t="n">
        <v>46309</v>
      </c>
      <c r="M18">
        <f>IF(L18="","",L18-TODAY())</f>
        <v/>
      </c>
      <c r="N18">
        <f>IF(L18="","",IF(L18-TODAY()&lt;=0,"EXPIRÉ",IF(L18-TODAY()&lt;=30,"CRITIQUE",IF(L18-TODAY()&lt;=90,"ALERTE","OK"))))</f>
        <v/>
      </c>
      <c r="O18" t="inlineStr"/>
      <c r="P18" t="inlineStr"/>
      <c r="Q18" t="inlineStr"/>
      <c r="R18" t="inlineStr"/>
      <c r="S18" t="inlineStr">
        <is>
          <t>Doublon volontaire</t>
        </is>
      </c>
    </row>
    <row r="19">
      <c r="A19" t="inlineStr"/>
      <c r="B19" t="inlineStr">
        <is>
          <t>Notepad++</t>
        </is>
      </c>
      <c r="C19" t="inlineStr"/>
      <c r="D19" t="inlineStr">
        <is>
          <t>Perpétuelle avec abonnement</t>
        </is>
      </c>
      <c r="E19" t="inlineStr"/>
      <c r="F19" t="n">
        <v>500</v>
      </c>
      <c r="H19" t="inlineStr"/>
      <c r="I19" t="inlineStr"/>
      <c r="J19" t="inlineStr">
        <is>
          <t>DSI</t>
        </is>
      </c>
      <c r="M19">
        <f>IF(L19="","",L19-TODAY())</f>
        <v/>
      </c>
      <c r="N19">
        <f>IF(L19="","",IF(L19-TODAY()&lt;=0,"EXPIRÉ",IF(L19-TODAY()&lt;=30,"CRITIQUE",IF(L19-TODAY()&lt;=90,"ALERTE","OK"))))</f>
        <v/>
      </c>
      <c r="O19" t="inlineStr">
        <is>
          <t>Basse</t>
        </is>
      </c>
      <c r="P19" t="n">
        <v>0</v>
      </c>
      <c r="Q19" t="n">
        <v>0</v>
      </c>
      <c r="R19" t="inlineStr"/>
      <c r="S19" t="inlineStr">
        <is>
          <t>Gratuit — référence manquante</t>
        </is>
      </c>
    </row>
    <row r="20">
      <c r="A20" t="inlineStr">
        <is>
          <t>LIC-015</t>
        </is>
      </c>
      <c r="B20" t="inlineStr">
        <is>
          <t>ArcGIS Pro</t>
        </is>
      </c>
      <c r="C20" t="inlineStr">
        <is>
          <t>Esri France</t>
        </is>
      </c>
      <c r="D20" t="inlineStr">
        <is>
          <t>Flottante</t>
        </is>
      </c>
      <c r="E20" t="inlineStr"/>
      <c r="F20" t="n">
        <v>8</v>
      </c>
      <c r="G20" t="n">
        <v>11</v>
      </c>
      <c r="H20" t="inlineStr"/>
      <c r="I20" t="inlineStr">
        <is>
          <t>M. Fabre</t>
        </is>
      </c>
      <c r="J20" t="inlineStr">
        <is>
          <t>Direction Patrimoine</t>
        </is>
      </c>
      <c r="K20" s="3" t="n">
        <v>46207</v>
      </c>
      <c r="L20" s="3" t="n">
        <v>46572</v>
      </c>
      <c r="M20">
        <f>IF(L20="","",L20-TODAY())</f>
        <v/>
      </c>
      <c r="N20">
        <f>IF(L20="","",IF(L20-TODAY()&lt;=0,"EXPIRÉ",IF(L20-TODAY()&lt;=30,"CRITIQUE",IF(L20-TODAY()&lt;=90,"ALERTE","OK"))))</f>
        <v/>
      </c>
      <c r="O20" t="inlineStr">
        <is>
          <t>Moyenne</t>
        </is>
      </c>
      <c r="P20" t="n">
        <v>16000</v>
      </c>
      <c r="Q20" t="n">
        <v>16000</v>
      </c>
      <c r="R20" t="inlineStr"/>
      <c r="S20" t="inlineStr">
        <is>
          <t>Plus d'utilisateurs que de licences !</t>
        </is>
      </c>
    </row>
    <row r="21">
      <c r="A21" t="inlineStr"/>
      <c r="B21" t="inlineStr"/>
      <c r="C21" t="inlineStr"/>
      <c r="D21" t="inlineStr"/>
      <c r="E21" t="inlineStr"/>
      <c r="H21" t="inlineStr"/>
      <c r="I21" t="inlineStr"/>
      <c r="J21" t="inlineStr"/>
      <c r="M21">
        <f>IF(L21="","",L21-TODAY())</f>
        <v/>
      </c>
      <c r="N21">
        <f>IF(L21="","",IF(L21-TODAY()&lt;=0,"EXPIRÉ",IF(L21-TODAY()&lt;=30,"CRITIQUE",IF(L21-TODAY()&lt;=90,"ALERTE","OK"))))</f>
        <v/>
      </c>
      <c r="O21" t="inlineStr"/>
      <c r="R21" t="inlineStr"/>
      <c r="S21" t="inlineStr">
        <is>
          <t>ligne sans référence ni nom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1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  <col width="20" customWidth="1" min="17" max="17"/>
  </cols>
  <sheetData>
    <row r="1">
      <c r="A1" s="1" t="inlineStr">
        <is>
          <t>Suivi des certificats</t>
        </is>
      </c>
    </row>
    <row r="2"/>
    <row r="3">
      <c r="A3" s="2" t="inlineStr">
        <is>
          <t>Référence</t>
        </is>
      </c>
      <c r="B3" s="2" t="inlineStr">
        <is>
          <t>Domaine</t>
        </is>
      </c>
      <c r="C3" s="2" t="inlineStr">
        <is>
          <t>Type de certificat</t>
        </is>
      </c>
      <c r="D3" s="2" t="inlineStr">
        <is>
          <t>Autorité</t>
        </is>
      </c>
      <c r="E3" s="2" t="inlineStr">
        <is>
          <t>Serveur / Application cible</t>
        </is>
      </c>
      <c r="F3" s="2" t="inlineStr">
        <is>
          <t>Environnement</t>
        </is>
      </c>
      <c r="G3" s="2" t="inlineStr">
        <is>
          <t>Fournisseur</t>
        </is>
      </c>
      <c r="H3" s="2" t="inlineStr">
        <is>
          <t>Contrat</t>
        </is>
      </c>
      <c r="I3" s="2" t="inlineStr">
        <is>
          <t>Responsable</t>
        </is>
      </c>
      <c r="J3" s="2" t="inlineStr">
        <is>
          <t>Direction</t>
        </is>
      </c>
      <c r="K3" s="2" t="inlineStr">
        <is>
          <t>Date d'émission</t>
        </is>
      </c>
      <c r="L3" s="2" t="inlineStr">
        <is>
          <t>Date d'expiration</t>
        </is>
      </c>
      <c r="M3" s="2" t="inlineStr">
        <is>
          <t>Criticité</t>
        </is>
      </c>
      <c r="N3" s="2" t="inlineStr">
        <is>
          <t>Coût annuel</t>
        </is>
      </c>
      <c r="O3" s="2" t="inlineStr">
        <is>
          <t>Budget</t>
        </is>
      </c>
      <c r="P3" s="2" t="inlineStr">
        <is>
          <t>Plan d'action</t>
        </is>
      </c>
      <c r="Q3" s="2" t="inlineStr">
        <is>
          <t>Observations</t>
        </is>
      </c>
    </row>
    <row r="4">
      <c r="A4" t="inlineStr">
        <is>
          <t>CERT-001</t>
        </is>
      </c>
      <c r="B4" t="inlineStr">
        <is>
          <t>*.exemple-collectivite.fr</t>
        </is>
      </c>
      <c r="C4" t="inlineStr">
        <is>
          <t>Wildcard</t>
        </is>
      </c>
      <c r="D4" t="inlineStr">
        <is>
          <t>Sectigo</t>
        </is>
      </c>
      <c r="E4" t="inlineStr">
        <is>
          <t>Reverse proxy / portails</t>
        </is>
      </c>
      <c r="F4" t="inlineStr">
        <is>
          <t>Production</t>
        </is>
      </c>
      <c r="G4" t="inlineStr">
        <is>
          <t>Sectigo</t>
        </is>
      </c>
      <c r="H4" t="inlineStr">
        <is>
          <t>CTR-2024-025</t>
        </is>
      </c>
      <c r="I4" t="inlineStr">
        <is>
          <t>RSSI</t>
        </is>
      </c>
      <c r="J4" t="inlineStr">
        <is>
          <t>DSI</t>
        </is>
      </c>
      <c r="K4" s="3" t="n">
        <v>45957</v>
      </c>
      <c r="L4" s="3" t="n">
        <v>46319</v>
      </c>
      <c r="M4" t="inlineStr">
        <is>
          <t>Critique</t>
        </is>
      </c>
      <c r="N4" t="n">
        <v>1200</v>
      </c>
      <c r="O4" t="n">
        <v>1300</v>
      </c>
      <c r="P4" t="inlineStr">
        <is>
          <t>Commander renouvellement</t>
        </is>
      </c>
      <c r="Q4" t="inlineStr"/>
    </row>
    <row r="5">
      <c r="A5" t="inlineStr">
        <is>
          <t>CERT-002</t>
        </is>
      </c>
      <c r="B5" t="inlineStr">
        <is>
          <t>www.exemple-collectivite.fr</t>
        </is>
      </c>
      <c r="C5" t="inlineStr">
        <is>
          <t>SSL/TLS</t>
        </is>
      </c>
      <c r="D5" t="inlineStr">
        <is>
          <t>Let's Encrypt</t>
        </is>
      </c>
      <c r="E5" t="inlineStr">
        <is>
          <t>Site institutionnel</t>
        </is>
      </c>
      <c r="F5" t="inlineStr">
        <is>
          <t>Production</t>
        </is>
      </c>
      <c r="G5" t="inlineStr"/>
      <c r="H5" t="inlineStr"/>
      <c r="I5" t="inlineStr">
        <is>
          <t>Équipe Web</t>
        </is>
      </c>
      <c r="J5" t="inlineStr">
        <is>
          <t>Direction Communication</t>
        </is>
      </c>
      <c r="K5" s="3" t="n">
        <v>46237</v>
      </c>
      <c r="L5" s="3" t="n">
        <v>46327</v>
      </c>
      <c r="M5" t="inlineStr">
        <is>
          <t>Haute</t>
        </is>
      </c>
      <c r="N5" t="n">
        <v>0</v>
      </c>
      <c r="O5" t="n">
        <v>0</v>
      </c>
      <c r="P5" t="inlineStr">
        <is>
          <t>Renouvellement auto certbot</t>
        </is>
      </c>
      <c r="Q5" t="inlineStr"/>
    </row>
    <row r="6">
      <c r="A6" t="inlineStr">
        <is>
          <t>CERT-003</t>
        </is>
      </c>
      <c r="B6" t="inlineStr">
        <is>
          <t>vpn.exemple-collectivite.fr</t>
        </is>
      </c>
      <c r="C6" t="inlineStr">
        <is>
          <t>SSL/TLS</t>
        </is>
      </c>
      <c r="D6" t="inlineStr">
        <is>
          <t>Sectigo</t>
        </is>
      </c>
      <c r="E6" t="inlineStr">
        <is>
          <t>Passerelle VPN</t>
        </is>
      </c>
      <c r="F6" t="inlineStr">
        <is>
          <t>Production</t>
        </is>
      </c>
      <c r="G6" t="inlineStr">
        <is>
          <t>Sectigo</t>
        </is>
      </c>
      <c r="H6" t="inlineStr">
        <is>
          <t>CTR-2024-025</t>
        </is>
      </c>
      <c r="I6" t="inlineStr">
        <is>
          <t>RSSI</t>
        </is>
      </c>
      <c r="J6" t="inlineStr">
        <is>
          <t>DSI</t>
        </is>
      </c>
      <c r="K6" s="3" t="n">
        <v>45997</v>
      </c>
      <c r="L6" s="3" t="n">
        <v>46362</v>
      </c>
      <c r="M6" t="inlineStr">
        <is>
          <t>Critique</t>
        </is>
      </c>
      <c r="N6" t="n">
        <v>350</v>
      </c>
      <c r="O6" t="n">
        <v>350</v>
      </c>
      <c r="P6" t="inlineStr"/>
      <c r="Q6" t="inlineStr"/>
    </row>
    <row r="7">
      <c r="A7" t="inlineStr">
        <is>
          <t>CERT-004</t>
        </is>
      </c>
      <c r="B7" t="inlineStr">
        <is>
          <t>intranet.local</t>
        </is>
      </c>
      <c r="C7" t="inlineStr">
        <is>
          <t>Certificat interne</t>
        </is>
      </c>
      <c r="D7" t="inlineStr">
        <is>
          <t>PKI interne AD CS</t>
        </is>
      </c>
      <c r="E7" t="inlineStr">
        <is>
          <t>Intranet</t>
        </is>
      </c>
      <c r="F7" t="inlineStr">
        <is>
          <t>Production</t>
        </is>
      </c>
      <c r="G7" t="inlineStr"/>
      <c r="H7" t="inlineStr"/>
      <c r="I7" t="inlineStr">
        <is>
          <t>P. Durand</t>
        </is>
      </c>
      <c r="J7" t="inlineStr">
        <is>
          <t>DSI</t>
        </is>
      </c>
      <c r="K7" s="3" t="n">
        <v>45597</v>
      </c>
      <c r="L7" s="3" t="n">
        <v>46292</v>
      </c>
      <c r="M7" t="inlineStr">
        <is>
          <t>Moyenne</t>
        </is>
      </c>
      <c r="N7" t="n">
        <v>0</v>
      </c>
      <c r="O7" t="n">
        <v>0</v>
      </c>
      <c r="P7" t="inlineStr">
        <is>
          <t>Régénérer via PKI</t>
        </is>
      </c>
      <c r="Q7" t="inlineStr">
        <is>
          <t>Expiré</t>
        </is>
      </c>
    </row>
    <row r="8">
      <c r="A8" t="inlineStr">
        <is>
          <t>CERT-005</t>
        </is>
      </c>
      <c r="B8" t="inlineStr">
        <is>
          <t>api.exemple-collectivite.fr</t>
        </is>
      </c>
      <c r="C8" t="inlineStr">
        <is>
          <t>SSL/TLS</t>
        </is>
      </c>
      <c r="D8" t="inlineStr">
        <is>
          <t>Sectigo</t>
        </is>
      </c>
      <c r="E8" t="inlineStr">
        <is>
          <t>API Gateway</t>
        </is>
      </c>
      <c r="F8" t="inlineStr">
        <is>
          <t>Production</t>
        </is>
      </c>
      <c r="G8" t="inlineStr">
        <is>
          <t>Sectigo</t>
        </is>
      </c>
      <c r="H8" t="inlineStr">
        <is>
          <t>CTR-2024-025</t>
        </is>
      </c>
      <c r="I8" t="inlineStr">
        <is>
          <t>A. Roux</t>
        </is>
      </c>
      <c r="J8" t="inlineStr">
        <is>
          <t>DSI</t>
        </is>
      </c>
      <c r="K8" s="3" t="n">
        <v>46097</v>
      </c>
      <c r="L8" s="3" t="n">
        <v>46462</v>
      </c>
      <c r="M8" t="inlineStr">
        <is>
          <t>Haute</t>
        </is>
      </c>
      <c r="N8" t="n">
        <v>350</v>
      </c>
      <c r="O8" t="n">
        <v>350</v>
      </c>
      <c r="P8" t="inlineStr"/>
      <c r="Q8" t="inlineStr"/>
    </row>
    <row r="9">
      <c r="A9" t="inlineStr">
        <is>
          <t>CERT-006</t>
        </is>
      </c>
      <c r="B9" t="inlineStr">
        <is>
          <t>recette.exemple-collectivite.fr</t>
        </is>
      </c>
      <c r="C9" t="inlineStr">
        <is>
          <t>SSL/TLS</t>
        </is>
      </c>
      <c r="D9" t="inlineStr">
        <is>
          <t>Let's Encrypt</t>
        </is>
      </c>
      <c r="E9" t="inlineStr">
        <is>
          <t>Serveur recette</t>
        </is>
      </c>
      <c r="F9" t="inlineStr">
        <is>
          <t>Recette</t>
        </is>
      </c>
      <c r="G9" t="inlineStr"/>
      <c r="H9" t="inlineStr"/>
      <c r="I9" t="inlineStr">
        <is>
          <t>A. Roux</t>
        </is>
      </c>
      <c r="J9" t="inlineStr">
        <is>
          <t>DSI</t>
        </is>
      </c>
      <c r="K9" s="3" t="n">
        <v>46217</v>
      </c>
      <c r="L9" s="3" t="n">
        <v>46305</v>
      </c>
      <c r="M9" t="inlineStr">
        <is>
          <t>Basse</t>
        </is>
      </c>
      <c r="N9" t="n">
        <v>0</v>
      </c>
      <c r="O9" t="n">
        <v>0</v>
      </c>
      <c r="P9" t="inlineStr"/>
      <c r="Q9" t="inlineStr"/>
    </row>
    <row r="10">
      <c r="A10" t="inlineStr">
        <is>
          <t>CERT-007</t>
        </is>
      </c>
      <c r="B10" t="inlineStr">
        <is>
          <t>mail.exemple-collectivite.fr</t>
        </is>
      </c>
      <c r="C10" t="inlineStr">
        <is>
          <t>SSL/TLS</t>
        </is>
      </c>
      <c r="D10" t="inlineStr">
        <is>
          <t>DigiCert</t>
        </is>
      </c>
      <c r="E10" t="inlineStr">
        <is>
          <t>Exchange OWA</t>
        </is>
      </c>
      <c r="F10" t="inlineStr">
        <is>
          <t>Production</t>
        </is>
      </c>
      <c r="G10" t="inlineStr">
        <is>
          <t>DigiCert</t>
        </is>
      </c>
      <c r="H10" t="inlineStr"/>
      <c r="I10" t="inlineStr">
        <is>
          <t>P. Durand</t>
        </is>
      </c>
      <c r="J10" t="inlineStr">
        <is>
          <t>DSI</t>
        </is>
      </c>
      <c r="K10" s="3" t="n">
        <v>46047</v>
      </c>
      <c r="L10" t="inlineStr">
        <is>
          <t>N/A</t>
        </is>
      </c>
      <c r="M10" t="inlineStr">
        <is>
          <t>Critique</t>
        </is>
      </c>
      <c r="N10" t="n">
        <v>450</v>
      </c>
      <c r="O10" t="n">
        <v>450</v>
      </c>
      <c r="P10" t="inlineStr"/>
      <c r="Q10" t="inlineStr">
        <is>
          <t>Date à compléter</t>
        </is>
      </c>
    </row>
    <row r="11">
      <c r="A11" t="inlineStr">
        <is>
          <t>CERT-008</t>
        </is>
      </c>
      <c r="B11" t="inlineStr">
        <is>
          <t>Signature code DSI</t>
        </is>
      </c>
      <c r="C11" t="inlineStr">
        <is>
          <t>Certificat interne</t>
        </is>
      </c>
      <c r="D11" t="inlineStr">
        <is>
          <t>PKI interne AD CS</t>
        </is>
      </c>
      <c r="E11" t="inlineStr">
        <is>
          <t>Scripts PowerShell</t>
        </is>
      </c>
      <c r="F11" t="inlineStr">
        <is>
          <t>Production</t>
        </is>
      </c>
      <c r="G11" t="inlineStr"/>
      <c r="H11" t="inlineStr"/>
      <c r="I11" t="inlineStr">
        <is>
          <t>RSSI</t>
        </is>
      </c>
      <c r="J11" t="inlineStr">
        <is>
          <t>DSI</t>
        </is>
      </c>
      <c r="K11" s="3" t="n">
        <v>45897</v>
      </c>
      <c r="L11" s="3" t="n">
        <v>46697</v>
      </c>
      <c r="M11" t="inlineStr">
        <is>
          <t>Basse</t>
        </is>
      </c>
      <c r="N11" t="n">
        <v>0</v>
      </c>
      <c r="O11" t="n">
        <v>0</v>
      </c>
      <c r="P11" t="inlineStr"/>
      <c r="Q11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3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  <col width="20" customWidth="1" min="17" max="17"/>
    <col width="20" customWidth="1" min="18" max="18"/>
    <col width="20" customWidth="1" min="19" max="19"/>
  </cols>
  <sheetData>
    <row r="1">
      <c r="A1" s="1" t="inlineStr">
        <is>
          <t>Inventaire matériels</t>
        </is>
      </c>
    </row>
    <row r="2"/>
    <row r="3">
      <c r="A3" s="2" t="inlineStr">
        <is>
          <t>N° inventaire</t>
        </is>
      </c>
      <c r="B3" s="2" t="inlineStr">
        <is>
          <t>Désignation</t>
        </is>
      </c>
      <c r="C3" s="2" t="inlineStr">
        <is>
          <t>Marque</t>
        </is>
      </c>
      <c r="D3" s="2" t="inlineStr">
        <is>
          <t>Modèle</t>
        </is>
      </c>
      <c r="E3" s="2" t="inlineStr">
        <is>
          <t>N° série</t>
        </is>
      </c>
      <c r="F3" s="2" t="inlineStr">
        <is>
          <t>Site</t>
        </is>
      </c>
      <c r="G3" s="2" t="inlineStr">
        <is>
          <t>Fournisseur</t>
        </is>
      </c>
      <c r="H3" s="2" t="inlineStr">
        <is>
          <t>Contrat</t>
        </is>
      </c>
      <c r="I3" s="2" t="inlineStr">
        <is>
          <t>Responsable</t>
        </is>
      </c>
      <c r="J3" s="2" t="inlineStr">
        <is>
          <t>Direction</t>
        </is>
      </c>
      <c r="K3" s="2" t="inlineStr">
        <is>
          <t>Date d'acquisition</t>
        </is>
      </c>
      <c r="L3" s="2" t="inlineStr">
        <is>
          <t>Fin de garantie</t>
        </is>
      </c>
      <c r="M3" s="2" t="inlineStr">
        <is>
          <t>Fin de support</t>
        </is>
      </c>
      <c r="N3" s="2" t="inlineStr">
        <is>
          <t>Type de contrat support</t>
        </is>
      </c>
      <c r="O3" s="2" t="inlineStr">
        <is>
          <t>Criticité</t>
        </is>
      </c>
      <c r="P3" s="2" t="inlineStr">
        <is>
          <t>Coût annuel</t>
        </is>
      </c>
      <c r="Q3" s="2" t="inlineStr">
        <is>
          <t>Budget estimé</t>
        </is>
      </c>
      <c r="R3" s="2" t="inlineStr">
        <is>
          <t>Plan d'action</t>
        </is>
      </c>
      <c r="S3" s="2" t="inlineStr">
        <is>
          <t>Observations</t>
        </is>
      </c>
    </row>
    <row r="4">
      <c r="A4" t="inlineStr">
        <is>
          <t>MAT-001</t>
        </is>
      </c>
      <c r="B4" t="inlineStr">
        <is>
          <t>Serveur ESX 01</t>
        </is>
      </c>
      <c r="C4" t="inlineStr">
        <is>
          <t>Dell</t>
        </is>
      </c>
      <c r="D4" t="inlineStr">
        <is>
          <t>PowerEdge R750</t>
        </is>
      </c>
      <c r="E4" t="inlineStr">
        <is>
          <t>SN-7XK21</t>
        </is>
      </c>
      <c r="F4" t="inlineStr">
        <is>
          <t>Datacenter principal</t>
        </is>
      </c>
      <c r="G4" t="inlineStr">
        <is>
          <t>Dell Technologies</t>
        </is>
      </c>
      <c r="H4" t="inlineStr">
        <is>
          <t>CTR-2024-003</t>
        </is>
      </c>
      <c r="I4" t="inlineStr">
        <is>
          <t>P. Durand</t>
        </is>
      </c>
      <c r="J4" t="inlineStr">
        <is>
          <t>DSI</t>
        </is>
      </c>
      <c r="K4" s="3" t="n">
        <v>45397</v>
      </c>
      <c r="L4" s="3" t="n">
        <v>46492</v>
      </c>
      <c r="M4" s="3" t="n">
        <v>46627</v>
      </c>
      <c r="N4" t="inlineStr">
        <is>
          <t>ProSupport 4h</t>
        </is>
      </c>
      <c r="O4" t="inlineStr">
        <is>
          <t>Critique</t>
        </is>
      </c>
      <c r="P4" t="n">
        <v>4500</v>
      </c>
      <c r="Q4" t="n">
        <v>5000</v>
      </c>
      <c r="R4" t="inlineStr"/>
      <c r="S4" t="inlineStr"/>
    </row>
    <row r="5">
      <c r="A5" t="inlineStr">
        <is>
          <t>MAT-002</t>
        </is>
      </c>
      <c r="B5" t="inlineStr">
        <is>
          <t>Serveur ESX 02</t>
        </is>
      </c>
      <c r="C5" t="inlineStr">
        <is>
          <t>Dell</t>
        </is>
      </c>
      <c r="D5" t="inlineStr">
        <is>
          <t>PowerEdge R750</t>
        </is>
      </c>
      <c r="E5" t="inlineStr">
        <is>
          <t>SN-7XK22</t>
        </is>
      </c>
      <c r="F5" t="inlineStr">
        <is>
          <t>Datacenter principal</t>
        </is>
      </c>
      <c r="G5" t="inlineStr">
        <is>
          <t>Dell Technologies</t>
        </is>
      </c>
      <c r="H5" t="inlineStr">
        <is>
          <t>CTR-2024-003</t>
        </is>
      </c>
      <c r="I5" t="inlineStr">
        <is>
          <t>P. Durand</t>
        </is>
      </c>
      <c r="J5" t="inlineStr">
        <is>
          <t>DSI</t>
        </is>
      </c>
      <c r="K5" s="3" t="n">
        <v>45397</v>
      </c>
      <c r="L5" s="3" t="n">
        <v>46492</v>
      </c>
      <c r="M5" s="3" t="n">
        <v>46627</v>
      </c>
      <c r="N5" t="inlineStr">
        <is>
          <t>ProSupport 4h</t>
        </is>
      </c>
      <c r="O5" t="inlineStr">
        <is>
          <t>Critique</t>
        </is>
      </c>
      <c r="P5" t="n">
        <v>4500</v>
      </c>
      <c r="Q5" t="n">
        <v>5000</v>
      </c>
      <c r="R5" t="inlineStr"/>
      <c r="S5" t="inlineStr"/>
    </row>
    <row r="6">
      <c r="A6" t="inlineStr">
        <is>
          <t>MAT-003</t>
        </is>
      </c>
      <c r="B6" t="inlineStr">
        <is>
          <t>Baie stockage SAN</t>
        </is>
      </c>
      <c r="C6" t="inlineStr">
        <is>
          <t>NetApp</t>
        </is>
      </c>
      <c r="D6" t="inlineStr">
        <is>
          <t>AFF A250</t>
        </is>
      </c>
      <c r="E6" t="inlineStr">
        <is>
          <t>NA-551203</t>
        </is>
      </c>
      <c r="F6" t="inlineStr">
        <is>
          <t>Datacenter principal</t>
        </is>
      </c>
      <c r="G6" t="inlineStr">
        <is>
          <t>NetApp</t>
        </is>
      </c>
      <c r="H6" t="inlineStr"/>
      <c r="I6" t="inlineStr">
        <is>
          <t>P. Durand</t>
        </is>
      </c>
      <c r="J6" t="inlineStr">
        <is>
          <t>DSI</t>
        </is>
      </c>
      <c r="K6" s="3" t="n">
        <v>44797</v>
      </c>
      <c r="L6" s="3" t="n">
        <v>45897</v>
      </c>
      <c r="M6" s="3" t="n">
        <v>46352</v>
      </c>
      <c r="N6" t="inlineStr">
        <is>
          <t>SupportEdge</t>
        </is>
      </c>
      <c r="O6" t="inlineStr">
        <is>
          <t>Critique</t>
        </is>
      </c>
      <c r="P6" t="n">
        <v>18000</v>
      </c>
      <c r="Q6" t="n">
        <v>22000</v>
      </c>
      <c r="R6" t="inlineStr">
        <is>
          <t>Prévoir remplacement / extension</t>
        </is>
      </c>
      <c r="S6" t="inlineStr"/>
    </row>
    <row r="7">
      <c r="A7" t="inlineStr">
        <is>
          <t>MAT-004</t>
        </is>
      </c>
      <c r="B7" t="inlineStr">
        <is>
          <t>Cœur de réseau</t>
        </is>
      </c>
      <c r="C7" t="inlineStr">
        <is>
          <t>Cisco</t>
        </is>
      </c>
      <c r="D7" t="inlineStr">
        <is>
          <t>Catalyst 9500</t>
        </is>
      </c>
      <c r="E7" t="inlineStr">
        <is>
          <t>FOC2231X0AB</t>
        </is>
      </c>
      <c r="F7" t="inlineStr">
        <is>
          <t>Datacenter principal</t>
        </is>
      </c>
      <c r="G7" t="inlineStr">
        <is>
          <t>Cisco Systems</t>
        </is>
      </c>
      <c r="H7" t="inlineStr">
        <is>
          <t>CTR-2022-021</t>
        </is>
      </c>
      <c r="I7" t="inlineStr">
        <is>
          <t>N. Petit</t>
        </is>
      </c>
      <c r="J7" t="inlineStr">
        <is>
          <t>DSI</t>
        </is>
      </c>
      <c r="K7" s="3" t="n">
        <v>45097</v>
      </c>
      <c r="L7" s="3" t="n">
        <v>46197</v>
      </c>
      <c r="M7" s="3" t="n">
        <v>46457</v>
      </c>
      <c r="N7" t="inlineStr">
        <is>
          <t>SmartNet 8x5xNBD</t>
        </is>
      </c>
      <c r="O7" t="inlineStr">
        <is>
          <t>Critique</t>
        </is>
      </c>
      <c r="P7" t="n">
        <v>9000</v>
      </c>
      <c r="Q7" t="n">
        <v>9500</v>
      </c>
      <c r="R7" t="inlineStr"/>
      <c r="S7" t="inlineStr"/>
    </row>
    <row r="8">
      <c r="A8" t="inlineStr">
        <is>
          <t>MAT-005</t>
        </is>
      </c>
      <c r="B8" t="inlineStr">
        <is>
          <t>Pare-feu périmétrique</t>
        </is>
      </c>
      <c r="C8" t="inlineStr">
        <is>
          <t>Fortinet</t>
        </is>
      </c>
      <c r="D8" t="inlineStr">
        <is>
          <t>FortiGate 200F</t>
        </is>
      </c>
      <c r="E8" t="inlineStr">
        <is>
          <t>FG200FTK2201</t>
        </is>
      </c>
      <c r="F8" t="inlineStr">
        <is>
          <t>Datacenter principal</t>
        </is>
      </c>
      <c r="G8" t="inlineStr">
        <is>
          <t>Fortinet</t>
        </is>
      </c>
      <c r="H8" t="inlineStr"/>
      <c r="I8" t="inlineStr">
        <is>
          <t>RSSI</t>
        </is>
      </c>
      <c r="J8" t="inlineStr">
        <is>
          <t>DSI</t>
        </is>
      </c>
      <c r="K8" s="3" t="n">
        <v>45597</v>
      </c>
      <c r="L8" s="3" t="n">
        <v>45962</v>
      </c>
      <c r="M8" s="3" t="n">
        <v>46325</v>
      </c>
      <c r="N8" t="inlineStr">
        <is>
          <t>FortiCare 24x7</t>
        </is>
      </c>
      <c r="O8" t="inlineStr">
        <is>
          <t>Critique</t>
        </is>
      </c>
      <c r="P8" t="n">
        <v>7000</v>
      </c>
      <c r="Q8" t="n">
        <v>7500</v>
      </c>
      <c r="R8" t="inlineStr">
        <is>
          <t>Renouveler FortiCare + UTM</t>
        </is>
      </c>
      <c r="S8" t="inlineStr"/>
    </row>
    <row r="9">
      <c r="A9" t="inlineStr">
        <is>
          <t>MAT-006</t>
        </is>
      </c>
      <c r="B9" t="inlineStr">
        <is>
          <t>Switchs d'étage (lot 24)</t>
        </is>
      </c>
      <c r="C9" t="inlineStr">
        <is>
          <t>HPE Aruba</t>
        </is>
      </c>
      <c r="D9" t="inlineStr">
        <is>
          <t>2930F</t>
        </is>
      </c>
      <c r="E9" t="inlineStr">
        <is>
          <t>Lot</t>
        </is>
      </c>
      <c r="F9" t="inlineStr">
        <is>
          <t>Hôtel de ville</t>
        </is>
      </c>
      <c r="G9" t="inlineStr">
        <is>
          <t>HPE</t>
        </is>
      </c>
      <c r="H9" t="inlineStr"/>
      <c r="I9" t="inlineStr">
        <is>
          <t>N. Petit</t>
        </is>
      </c>
      <c r="J9" t="inlineStr">
        <is>
          <t>DSI</t>
        </is>
      </c>
      <c r="K9" s="3" t="n">
        <v>44097</v>
      </c>
      <c r="L9" s="3" t="n">
        <v>45797</v>
      </c>
      <c r="M9" s="3" t="n">
        <v>46267</v>
      </c>
      <c r="N9" t="inlineStr"/>
      <c r="O9" t="inlineStr">
        <is>
          <t>Moyenne</t>
        </is>
      </c>
      <c r="P9" t="n">
        <v>0</v>
      </c>
      <c r="Q9" t="n">
        <v>60000</v>
      </c>
      <c r="R9" t="inlineStr">
        <is>
          <t>Renouvellement parc 2027</t>
        </is>
      </c>
      <c r="S9" t="inlineStr">
        <is>
          <t>Fin de support atteinte</t>
        </is>
      </c>
    </row>
    <row r="10">
      <c r="A10" t="inlineStr">
        <is>
          <t>MAT-007</t>
        </is>
      </c>
      <c r="B10" t="inlineStr">
        <is>
          <t>Imprimantes multifonctions</t>
        </is>
      </c>
      <c r="C10" t="inlineStr">
        <is>
          <t>Ricoh</t>
        </is>
      </c>
      <c r="D10" t="inlineStr">
        <is>
          <t>IM C3000</t>
        </is>
      </c>
      <c r="E10" t="inlineStr">
        <is>
          <t>Lot 35</t>
        </is>
      </c>
      <c r="F10" t="inlineStr">
        <is>
          <t>Tous sites</t>
        </is>
      </c>
      <c r="G10" t="inlineStr">
        <is>
          <t>Ricoh France</t>
        </is>
      </c>
      <c r="H10" t="inlineStr"/>
      <c r="I10" t="inlineStr">
        <is>
          <t>Services généraux</t>
        </is>
      </c>
      <c r="J10" t="inlineStr">
        <is>
          <t>Direction Générale</t>
        </is>
      </c>
      <c r="K10" s="3" t="n">
        <v>45697</v>
      </c>
      <c r="L10" t="inlineStr"/>
      <c r="M10" s="3" t="n">
        <v>46792</v>
      </c>
      <c r="N10" t="inlineStr">
        <is>
          <t>Location maintenance</t>
        </is>
      </c>
      <c r="O10" t="inlineStr">
        <is>
          <t>Basse</t>
        </is>
      </c>
      <c r="P10" t="n">
        <v>28000</v>
      </c>
      <c r="Q10" t="n">
        <v>28000</v>
      </c>
      <c r="R10" t="inlineStr"/>
      <c r="S10" t="inlineStr"/>
    </row>
    <row r="11">
      <c r="A11" t="inlineStr">
        <is>
          <t>MAT-008</t>
        </is>
      </c>
      <c r="B11" t="inlineStr">
        <is>
          <t>Onduleur salle serveur</t>
        </is>
      </c>
      <c r="C11" t="inlineStr">
        <is>
          <t>APC</t>
        </is>
      </c>
      <c r="D11" t="inlineStr">
        <is>
          <t>Smart-UPS SRT 10kVA</t>
        </is>
      </c>
      <c r="E11" t="inlineStr">
        <is>
          <t>AS1922112345</t>
        </is>
      </c>
      <c r="F11" t="inlineStr">
        <is>
          <t>Datacenter principal</t>
        </is>
      </c>
      <c r="G11" t="inlineStr">
        <is>
          <t>Schneider Electric</t>
        </is>
      </c>
      <c r="H11" t="inlineStr"/>
      <c r="I11" t="inlineStr">
        <is>
          <t>P. Durand</t>
        </is>
      </c>
      <c r="J11" t="inlineStr">
        <is>
          <t>DSI</t>
        </is>
      </c>
      <c r="K11" s="3" t="n">
        <v>44497</v>
      </c>
      <c r="L11" s="3" t="n">
        <v>45227</v>
      </c>
      <c r="N11" t="inlineStr"/>
      <c r="O11" t="inlineStr">
        <is>
          <t>Haute</t>
        </is>
      </c>
      <c r="P11" t="n">
        <v>0</v>
      </c>
      <c r="Q11" t="n">
        <v>8000</v>
      </c>
      <c r="R11" t="inlineStr">
        <is>
          <t>Remplacement batteries</t>
        </is>
      </c>
      <c r="S11" t="inlineStr">
        <is>
          <t>Pas de contrat de support</t>
        </is>
      </c>
    </row>
    <row r="12">
      <c r="A12" t="inlineStr">
        <is>
          <t>MAT-009</t>
        </is>
      </c>
      <c r="B12" t="inlineStr">
        <is>
          <t>Bornes Wi-Fi</t>
        </is>
      </c>
      <c r="C12" t="inlineStr">
        <is>
          <t>HPE Aruba</t>
        </is>
      </c>
      <c r="D12" t="inlineStr">
        <is>
          <t>AP-515</t>
        </is>
      </c>
      <c r="E12" t="inlineStr">
        <is>
          <t>Lot 60</t>
        </is>
      </c>
      <c r="F12" t="inlineStr">
        <is>
          <t>Tous sites</t>
        </is>
      </c>
      <c r="G12" t="inlineStr">
        <is>
          <t>HPE</t>
        </is>
      </c>
      <c r="H12" t="inlineStr"/>
      <c r="I12" t="inlineStr">
        <is>
          <t>N. Petit</t>
        </is>
      </c>
      <c r="J12" t="inlineStr">
        <is>
          <t>DSI</t>
        </is>
      </c>
      <c r="K12" s="3" t="n">
        <v>45897</v>
      </c>
      <c r="L12" s="3" t="n">
        <v>46997</v>
      </c>
      <c r="M12" s="3" t="n">
        <v>46997</v>
      </c>
      <c r="N12" t="inlineStr">
        <is>
          <t>Garantie à vie limitée</t>
        </is>
      </c>
      <c r="O12" t="inlineStr">
        <is>
          <t>Moyenne</t>
        </is>
      </c>
      <c r="P12" t="n">
        <v>0</v>
      </c>
      <c r="Q12" t="n">
        <v>0</v>
      </c>
      <c r="R12" t="inlineStr"/>
      <c r="S12" t="inlineStr"/>
    </row>
    <row r="13">
      <c r="A13" t="inlineStr">
        <is>
          <t>MAT-010</t>
        </is>
      </c>
      <c r="B13" t="inlineStr">
        <is>
          <t>Serveur sauvegarde</t>
        </is>
      </c>
      <c r="C13" t="inlineStr">
        <is>
          <t>HPE</t>
        </is>
      </c>
      <c r="D13" t="inlineStr">
        <is>
          <t>ProLiant DL380 Gen10</t>
        </is>
      </c>
      <c r="E13" t="inlineStr">
        <is>
          <t>CZJ0123ABC</t>
        </is>
      </c>
      <c r="F13" t="inlineStr">
        <is>
          <t>Site secours</t>
        </is>
      </c>
      <c r="G13" t="inlineStr">
        <is>
          <t>HPE</t>
        </is>
      </c>
      <c r="H13" t="inlineStr"/>
      <c r="I13" t="inlineStr">
        <is>
          <t>P. Durand</t>
        </is>
      </c>
      <c r="J13" t="inlineStr">
        <is>
          <t>DSI</t>
        </is>
      </c>
      <c r="K13" s="3" t="n">
        <v>44997</v>
      </c>
      <c r="L13" s="3" t="n">
        <v>46097</v>
      </c>
      <c r="M13" s="3" t="n">
        <v>46382</v>
      </c>
      <c r="N13" t="inlineStr">
        <is>
          <t>Foundation Care</t>
        </is>
      </c>
      <c r="O13" t="inlineStr">
        <is>
          <t>Haute</t>
        </is>
      </c>
      <c r="P13" t="n">
        <v>2500</v>
      </c>
      <c r="Q13" t="n">
        <v>2600</v>
      </c>
      <c r="R13" t="inlineStr"/>
      <c r="S13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0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  <col width="20" customWidth="1" min="17" max="17"/>
  </cols>
  <sheetData>
    <row r="1">
      <c r="A1" s="1" t="inlineStr">
        <is>
          <t>Portefeuille applicatif</t>
        </is>
      </c>
    </row>
    <row r="2"/>
    <row r="3">
      <c r="A3" s="2" t="inlineStr">
        <is>
          <t>Référence</t>
        </is>
      </c>
      <c r="B3" s="2" t="inlineStr">
        <is>
          <t>Application</t>
        </is>
      </c>
      <c r="C3" s="2" t="inlineStr">
        <is>
          <t>Propriétaire métier</t>
        </is>
      </c>
      <c r="D3" s="2" t="inlineStr">
        <is>
          <t>Responsable technique</t>
        </is>
      </c>
      <c r="E3" s="2" t="inlineStr">
        <is>
          <t>Direction</t>
        </is>
      </c>
      <c r="F3" s="2" t="inlineStr">
        <is>
          <t>Hébergement</t>
        </is>
      </c>
      <c r="G3" s="2" t="inlineStr">
        <is>
          <t>Prestataire</t>
        </is>
      </c>
      <c r="H3" s="2" t="inlineStr">
        <is>
          <t>Editeur</t>
        </is>
      </c>
      <c r="I3" s="2" t="inlineStr">
        <is>
          <t>Contrat</t>
        </is>
      </c>
      <c r="J3" s="2" t="inlineStr">
        <is>
          <t>SLA</t>
        </is>
      </c>
      <c r="K3" s="2" t="inlineStr">
        <is>
          <t>Date de mise en service</t>
        </is>
      </c>
      <c r="L3" s="2" t="inlineStr">
        <is>
          <t>Date de fin de contrat</t>
        </is>
      </c>
      <c r="M3" s="2" t="inlineStr">
        <is>
          <t>Criticité</t>
        </is>
      </c>
      <c r="N3" s="2" t="inlineStr">
        <is>
          <t>Coût annuel</t>
        </is>
      </c>
      <c r="O3" s="2" t="inlineStr">
        <is>
          <t>Budget estimé</t>
        </is>
      </c>
      <c r="P3" s="2" t="inlineStr">
        <is>
          <t>Plan d'action</t>
        </is>
      </c>
      <c r="Q3" s="2" t="inlineStr">
        <is>
          <t>Commentaires</t>
        </is>
      </c>
    </row>
    <row r="4">
      <c r="A4" t="inlineStr">
        <is>
          <t>APP-001</t>
        </is>
      </c>
      <c r="B4" t="inlineStr">
        <is>
          <t>SAP ERP Finance</t>
        </is>
      </c>
      <c r="C4" t="inlineStr">
        <is>
          <t>Direction Financière</t>
        </is>
      </c>
      <c r="D4" t="inlineStr">
        <is>
          <t>I. Moreau</t>
        </is>
      </c>
      <c r="E4" t="inlineStr">
        <is>
          <t>Direction Financière</t>
        </is>
      </c>
      <c r="F4" t="inlineStr">
        <is>
          <t>On-premise</t>
        </is>
      </c>
      <c r="G4" t="inlineStr">
        <is>
          <t>Sopra Steria</t>
        </is>
      </c>
      <c r="H4" t="inlineStr">
        <is>
          <t>SAP France</t>
        </is>
      </c>
      <c r="I4" t="inlineStr">
        <is>
          <t>CTR-2020-002</t>
        </is>
      </c>
      <c r="J4" t="inlineStr">
        <is>
          <t>99,5% - J+1</t>
        </is>
      </c>
      <c r="K4" s="3" t="n">
        <v>43297</v>
      </c>
      <c r="L4" s="3" t="n">
        <v>46177</v>
      </c>
      <c r="M4" t="inlineStr">
        <is>
          <t>Critique</t>
        </is>
      </c>
      <c r="N4" t="n">
        <v>240000</v>
      </c>
      <c r="O4" t="n">
        <v>250000</v>
      </c>
      <c r="P4" t="inlineStr">
        <is>
          <t>Négociation avenant</t>
        </is>
      </c>
      <c r="Q4" t="inlineStr"/>
    </row>
    <row r="5">
      <c r="A5" t="inlineStr">
        <is>
          <t>APP-002</t>
        </is>
      </c>
      <c r="B5" t="inlineStr">
        <is>
          <t>SIRH Paie</t>
        </is>
      </c>
      <c r="C5" t="inlineStr">
        <is>
          <t>Direction RH</t>
        </is>
      </c>
      <c r="D5" t="inlineStr">
        <is>
          <t>C. Bernard</t>
        </is>
      </c>
      <c r="E5" t="inlineStr">
        <is>
          <t>Direction RH</t>
        </is>
      </c>
      <c r="F5" t="inlineStr">
        <is>
          <t>SaaS</t>
        </is>
      </c>
      <c r="G5" t="inlineStr">
        <is>
          <t>Sopra Steria</t>
        </is>
      </c>
      <c r="H5" t="inlineStr">
        <is>
          <t>Sopra Steria</t>
        </is>
      </c>
      <c r="I5" t="inlineStr">
        <is>
          <t>CTR-2021-007</t>
        </is>
      </c>
      <c r="J5" t="inlineStr">
        <is>
          <t>99,5%</t>
        </is>
      </c>
      <c r="K5" s="3" t="n">
        <v>44697</v>
      </c>
      <c r="L5" s="3" t="n">
        <v>46282</v>
      </c>
      <c r="M5" t="inlineStr">
        <is>
          <t>Critique</t>
        </is>
      </c>
      <c r="N5" t="n">
        <v>85000</v>
      </c>
      <c r="O5" t="n">
        <v>90000</v>
      </c>
      <c r="P5" t="inlineStr">
        <is>
          <t>Relancer procédure de marché</t>
        </is>
      </c>
      <c r="Q5" t="inlineStr"/>
    </row>
    <row r="6">
      <c r="A6" t="inlineStr">
        <is>
          <t>APP-003</t>
        </is>
      </c>
      <c r="B6" t="inlineStr">
        <is>
          <t>Portail citoyen</t>
        </is>
      </c>
      <c r="C6" t="inlineStr">
        <is>
          <t>Direction Communication</t>
        </is>
      </c>
      <c r="D6" t="inlineStr">
        <is>
          <t>Équipe Web</t>
        </is>
      </c>
      <c r="E6" t="inlineStr">
        <is>
          <t>Direction Communication</t>
        </is>
      </c>
      <c r="F6" t="inlineStr">
        <is>
          <t>Cloud OVH</t>
        </is>
      </c>
      <c r="G6" t="inlineStr">
        <is>
          <t>OVHcloud</t>
        </is>
      </c>
      <c r="H6" t="inlineStr">
        <is>
          <t>OVHcloud</t>
        </is>
      </c>
      <c r="I6" t="inlineStr">
        <is>
          <t>CTR-2024-011</t>
        </is>
      </c>
      <c r="J6" t="inlineStr">
        <is>
          <t>99,9%</t>
        </is>
      </c>
      <c r="K6" s="3" t="n">
        <v>45797</v>
      </c>
      <c r="L6" s="3" t="n">
        <v>46827</v>
      </c>
      <c r="M6" t="inlineStr">
        <is>
          <t>Haute</t>
        </is>
      </c>
      <c r="N6" t="n">
        <v>54000</v>
      </c>
      <c r="O6" t="n">
        <v>54000</v>
      </c>
      <c r="P6" t="inlineStr"/>
      <c r="Q6" t="inlineStr"/>
    </row>
    <row r="7">
      <c r="A7" t="inlineStr">
        <is>
          <t>APP-004</t>
        </is>
      </c>
      <c r="B7" t="inlineStr">
        <is>
          <t>Gestion Électronique de Documents</t>
        </is>
      </c>
      <c r="C7" t="inlineStr">
        <is>
          <t>Direction Générale</t>
        </is>
      </c>
      <c r="D7" t="inlineStr">
        <is>
          <t>A. Roux</t>
        </is>
      </c>
      <c r="E7" t="inlineStr">
        <is>
          <t>Toutes directions</t>
        </is>
      </c>
      <c r="F7" t="inlineStr">
        <is>
          <t>On-premise</t>
        </is>
      </c>
      <c r="G7" t="inlineStr"/>
      <c r="H7" t="inlineStr">
        <is>
          <t>Alfresco</t>
        </is>
      </c>
      <c r="I7" t="inlineStr"/>
      <c r="J7" t="inlineStr">
        <is>
          <t>Best effort</t>
        </is>
      </c>
      <c r="K7" s="3" t="n">
        <v>44897</v>
      </c>
      <c r="L7" s="3" t="n">
        <v>46377</v>
      </c>
      <c r="M7" t="inlineStr">
        <is>
          <t>Moyenne</t>
        </is>
      </c>
      <c r="N7" t="n">
        <v>32000</v>
      </c>
      <c r="O7" t="n">
        <v>35000</v>
      </c>
      <c r="P7" t="inlineStr"/>
      <c r="Q7" t="inlineStr"/>
    </row>
    <row r="8">
      <c r="A8" t="inlineStr">
        <is>
          <t>APP-005</t>
        </is>
      </c>
      <c r="B8" t="inlineStr">
        <is>
          <t>Messagerie Exchange Online</t>
        </is>
      </c>
      <c r="C8" t="inlineStr">
        <is>
          <t>DSI</t>
        </is>
      </c>
      <c r="D8" t="inlineStr">
        <is>
          <t>J. Martin</t>
        </is>
      </c>
      <c r="E8" t="inlineStr">
        <is>
          <t>Toutes directions</t>
        </is>
      </c>
      <c r="F8" t="inlineStr">
        <is>
          <t>SaaS</t>
        </is>
      </c>
      <c r="G8" t="inlineStr">
        <is>
          <t>Microsoft</t>
        </is>
      </c>
      <c r="H8" t="inlineStr">
        <is>
          <t>Microsoft France</t>
        </is>
      </c>
      <c r="I8" t="inlineStr">
        <is>
          <t>CTR-2023-001</t>
        </is>
      </c>
      <c r="J8" t="inlineStr">
        <is>
          <t>99,9%</t>
        </is>
      </c>
      <c r="K8" s="3" t="n">
        <v>45497</v>
      </c>
      <c r="L8" s="3" t="n">
        <v>46322</v>
      </c>
      <c r="M8" t="inlineStr">
        <is>
          <t>Critique</t>
        </is>
      </c>
      <c r="N8" t="n">
        <v>0</v>
      </c>
      <c r="O8" t="n">
        <v>0</v>
      </c>
      <c r="P8" t="inlineStr">
        <is>
          <t>Inclus M365</t>
        </is>
      </c>
      <c r="Q8" t="inlineStr"/>
    </row>
    <row r="9">
      <c r="A9" t="inlineStr">
        <is>
          <t>APP-006</t>
        </is>
      </c>
      <c r="B9" t="inlineStr">
        <is>
          <t>Outil de ticketing GLPI</t>
        </is>
      </c>
      <c r="C9" t="inlineStr">
        <is>
          <t>DSI</t>
        </is>
      </c>
      <c r="D9" t="inlineStr">
        <is>
          <t>A. Roux</t>
        </is>
      </c>
      <c r="E9" t="inlineStr">
        <is>
          <t>DSI</t>
        </is>
      </c>
      <c r="F9" t="inlineStr">
        <is>
          <t>On-premise</t>
        </is>
      </c>
      <c r="G9" t="inlineStr">
        <is>
          <t>Teclib'</t>
        </is>
      </c>
      <c r="H9" t="inlineStr">
        <is>
          <t>Teclib'</t>
        </is>
      </c>
      <c r="I9" t="inlineStr"/>
      <c r="J9" t="inlineStr">
        <is>
          <t>J+1</t>
        </is>
      </c>
      <c r="K9" s="3" t="n">
        <v>45397</v>
      </c>
      <c r="L9" s="3" t="n">
        <v>46497</v>
      </c>
      <c r="M9" t="inlineStr">
        <is>
          <t>Moyenne</t>
        </is>
      </c>
      <c r="N9" t="n">
        <v>8000</v>
      </c>
      <c r="O9" t="n">
        <v>8000</v>
      </c>
      <c r="P9" t="inlineStr"/>
      <c r="Q9" t="inlineStr"/>
    </row>
    <row r="10">
      <c r="A10" t="inlineStr">
        <is>
          <t>APP-007</t>
        </is>
      </c>
      <c r="B10" t="inlineStr">
        <is>
          <t>Application urbanisme</t>
        </is>
      </c>
      <c r="C10" t="inlineStr">
        <is>
          <t>Direction Urbanisme</t>
        </is>
      </c>
      <c r="D10" t="inlineStr">
        <is>
          <t>M. Fabre</t>
        </is>
      </c>
      <c r="E10" t="inlineStr">
        <is>
          <t>Direction Urbanisme</t>
        </is>
      </c>
      <c r="F10" t="inlineStr">
        <is>
          <t>SaaS</t>
        </is>
      </c>
      <c r="G10" t="inlineStr"/>
      <c r="H10" t="inlineStr">
        <is>
          <t>Berger-Levrault</t>
        </is>
      </c>
      <c r="I10" t="inlineStr">
        <is>
          <t>CTR-2026-099</t>
        </is>
      </c>
      <c r="J10" t="inlineStr">
        <is>
          <t>99%</t>
        </is>
      </c>
      <c r="K10" s="3" t="n">
        <v>45597</v>
      </c>
      <c r="L10" s="3" t="n">
        <v>46357</v>
      </c>
      <c r="M10" t="inlineStr">
        <is>
          <t>Haute</t>
        </is>
      </c>
      <c r="N10" t="n">
        <v>26000</v>
      </c>
      <c r="O10" t="n">
        <v>27000</v>
      </c>
      <c r="P10" t="inlineStr"/>
      <c r="Q10" t="inlineStr">
        <is>
          <t>Contrat non référencé dans l'onglet contrats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Planning des renouvellements (calculé)</t>
        </is>
      </c>
    </row>
    <row r="2">
      <c r="A2" t="inlineStr">
        <is>
          <t>Référence</t>
        </is>
      </c>
      <c r="B2" t="inlineStr">
        <is>
          <t>Échéance</t>
        </is>
      </c>
      <c r="C2" t="inlineStr">
        <is>
          <t>Responsable</t>
        </is>
      </c>
    </row>
    <row r="3">
      <c r="A3" t="inlineStr">
        <is>
          <t>LIC-001</t>
        </is>
      </c>
      <c r="B3" s="3" t="n">
        <v>46322</v>
      </c>
      <c r="C3" t="inlineStr">
        <is>
          <t>J. Martin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selection activeCell="A1" sqref="A1"/>
    </sheetView>
  </sheetViews>
  <sheetFormatPr baseColWidth="8" defaultRowHeight="15"/>
  <sheetData>
    <row r="1">
      <c r="A1" t="inlineStr">
        <is>
          <t>Tableau de bord</t>
        </is>
      </c>
    </row>
    <row r="2">
      <c r="A2" t="inlineStr">
        <is>
          <t>Total licences</t>
        </is>
      </c>
      <c r="B2">
        <f>COUNTA(Licences_Logicielles!A4:A100)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2026-10-02T10:23:06Z</dcterms:created>
  <dcterms:modified xsi:type="dcterms:W3CDTF">2026-10-02T10:23:06Z</dcterms:modified>
</cp:coreProperties>
</file>