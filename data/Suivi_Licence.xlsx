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Arron\Downloads\"/>
    </mc:Choice>
  </mc:AlternateContent>
  <xr:revisionPtr revIDLastSave="0" documentId="13_ncr:1_{1E8B5CA9-976A-4D85-90DE-F03D2CABAC2C}" xr6:coauthVersionLast="45" xr6:coauthVersionMax="47" xr10:uidLastSave="{00000000-0000-0000-0000-000000000000}"/>
  <bookViews>
    <workbookView xWindow="57480" yWindow="-120" windowWidth="29040" windowHeight="16440" xr2:uid="{00000000-000D-0000-FFFF-FFFF00000000}"/>
  </bookViews>
  <sheets>
    <sheet name="Licences_Logicielles" sheetId="1" r:id="rId1"/>
    <sheet name="Certificats" sheetId="2" r:id="rId2"/>
    <sheet name="Materiels" sheetId="3" r:id="rId3"/>
    <sheet name="Applications" sheetId="4" r:id="rId4"/>
    <sheet name="Contrats_Fournisseurs" sheetId="5" r:id="rId5"/>
    <sheet name="Planning_Renouvellement" sheetId="6" r:id="rId6"/>
    <sheet name="Dashboard" sheetId="7" state="hidden" r:id="rId7"/>
  </sheets>
  <calcPr calcId="191029"/>
</workbook>
</file>

<file path=xl/calcChain.xml><?xml version="1.0" encoding="utf-8"?>
<calcChain xmlns="http://schemas.openxmlformats.org/spreadsheetml/2006/main">
  <c r="B11" i="7" l="1"/>
  <c r="I7" i="5" l="1"/>
  <c r="J8" i="1"/>
  <c r="J9" i="1"/>
  <c r="J10" i="1"/>
  <c r="J11" i="1"/>
  <c r="J12" i="1"/>
  <c r="J13" i="1"/>
  <c r="I7" i="2"/>
  <c r="B8" i="7"/>
  <c r="B19" i="7" s="1"/>
  <c r="B7" i="7"/>
  <c r="B18" i="7" s="1"/>
  <c r="B6" i="7"/>
  <c r="B17" i="7" s="1"/>
  <c r="B5" i="7"/>
  <c r="B16" i="7" s="1"/>
  <c r="B4" i="7"/>
  <c r="B15" i="7" s="1"/>
  <c r="I7" i="6"/>
  <c r="H7" i="6"/>
  <c r="G7" i="6"/>
  <c r="F7" i="6"/>
  <c r="I6" i="6"/>
  <c r="H6" i="6"/>
  <c r="G6" i="6"/>
  <c r="F6" i="6"/>
  <c r="I5" i="6"/>
  <c r="H5" i="6"/>
  <c r="G5" i="6"/>
  <c r="F5" i="6"/>
  <c r="I4" i="6"/>
  <c r="H4" i="6"/>
  <c r="G4" i="6"/>
  <c r="F4" i="6"/>
  <c r="I3" i="6"/>
  <c r="H3" i="6"/>
  <c r="G3" i="6"/>
  <c r="F3" i="6"/>
  <c r="I2" i="6"/>
  <c r="H2" i="6"/>
  <c r="G2" i="6"/>
  <c r="F2" i="6"/>
  <c r="I6" i="5"/>
  <c r="I5" i="5"/>
  <c r="I4" i="5"/>
  <c r="I3" i="5"/>
  <c r="I2" i="5"/>
  <c r="J6" i="4"/>
  <c r="N6" i="4" s="1"/>
  <c r="J5" i="4"/>
  <c r="N5" i="4" s="1"/>
  <c r="J4" i="4"/>
  <c r="N4" i="4" s="1"/>
  <c r="J3" i="4"/>
  <c r="N3" i="4" s="1"/>
  <c r="J2" i="4"/>
  <c r="N2" i="4" s="1"/>
  <c r="K6" i="3"/>
  <c r="O6" i="3" s="1"/>
  <c r="K5" i="3"/>
  <c r="O5" i="3" s="1"/>
  <c r="K4" i="3"/>
  <c r="O4" i="3" s="1"/>
  <c r="K3" i="3"/>
  <c r="O3" i="3" s="1"/>
  <c r="K2" i="3"/>
  <c r="O2" i="3" s="1"/>
  <c r="I6" i="2"/>
  <c r="K6" i="2" s="1"/>
  <c r="I5" i="2"/>
  <c r="K5" i="2" s="1"/>
  <c r="I4" i="2"/>
  <c r="K4" i="2" s="1"/>
  <c r="I3" i="2"/>
  <c r="K3" i="2" s="1"/>
  <c r="I2" i="2"/>
  <c r="K2" i="2" s="1"/>
  <c r="J7" i="1"/>
  <c r="N7" i="1" s="1"/>
  <c r="J6" i="1"/>
  <c r="J5" i="1"/>
  <c r="N5" i="1" s="1"/>
  <c r="J4" i="1"/>
  <c r="N4" i="1" s="1"/>
  <c r="J3" i="1"/>
  <c r="N3" i="1" s="1"/>
  <c r="J2" i="1"/>
  <c r="B10" i="7" l="1"/>
  <c r="B9" i="7"/>
  <c r="N2" i="1"/>
  <c r="N6" i="1"/>
</calcChain>
</file>

<file path=xl/sharedStrings.xml><?xml version="1.0" encoding="utf-8"?>
<sst xmlns="http://schemas.openxmlformats.org/spreadsheetml/2006/main" count="458" uniqueCount="304">
  <si>
    <t>ID</t>
  </si>
  <si>
    <t>Logiciel</t>
  </si>
  <si>
    <t>Éditeur</t>
  </si>
  <si>
    <t>Nb licences</t>
  </si>
  <si>
    <t>Type</t>
  </si>
  <si>
    <t>Responsable</t>
  </si>
  <si>
    <t>Direction utilisatrice</t>
  </si>
  <si>
    <t>Date début</t>
  </si>
  <si>
    <t>Date expiration</t>
  </si>
  <si>
    <t>Jours restants</t>
  </si>
  <si>
    <t>Criticité</t>
  </si>
  <si>
    <t>Coût annuel</t>
  </si>
  <si>
    <t>Budget prévu</t>
  </si>
  <si>
    <t>Statut</t>
  </si>
  <si>
    <t>Action</t>
  </si>
  <si>
    <t>Observation</t>
  </si>
  <si>
    <t>LIC-001</t>
  </si>
  <si>
    <t>Microsoft 365 E3</t>
  </si>
  <si>
    <t>Microsoft</t>
  </si>
  <si>
    <t>Abonnement</t>
  </si>
  <si>
    <t>Admin M365</t>
  </si>
  <si>
    <t>Toutes directions</t>
  </si>
  <si>
    <t>Critique</t>
  </si>
  <si>
    <t>Préparer renouvellement annuel</t>
  </si>
  <si>
    <t>Messagerie, Teams, OneDrive</t>
  </si>
  <si>
    <t>LIC-002</t>
  </si>
  <si>
    <t>VMware vSphere Standard</t>
  </si>
  <si>
    <t>Broadcom VMware</t>
  </si>
  <si>
    <t>Souscription</t>
  </si>
  <si>
    <t>Admin Virtualisation</t>
  </si>
  <si>
    <t>DSI</t>
  </si>
  <si>
    <t>Lancer demande de cotation</t>
  </si>
  <si>
    <t>Support cluster production</t>
  </si>
  <si>
    <t>LIC-003</t>
  </si>
  <si>
    <t>FortiAnalyzer VM</t>
  </si>
  <si>
    <t>Fortinet</t>
  </si>
  <si>
    <t>Admin Sécurité</t>
  </si>
  <si>
    <t>DSI/SOC</t>
  </si>
  <si>
    <t>Élevée</t>
  </si>
  <si>
    <t>Surveiller</t>
  </si>
  <si>
    <t>Logs sécurité</t>
  </si>
  <si>
    <t>LIC-004</t>
  </si>
  <si>
    <t>Veeam Backup &amp; Replication</t>
  </si>
  <si>
    <t>Veeam</t>
  </si>
  <si>
    <t>Admin Backup</t>
  </si>
  <si>
    <t>Sauvegarde VM critiques</t>
  </si>
  <si>
    <t>LIC-005</t>
  </si>
  <si>
    <t>GLPI Support</t>
  </si>
  <si>
    <t>Teclib</t>
  </si>
  <si>
    <t>Support annuel</t>
  </si>
  <si>
    <t>Responsable Support</t>
  </si>
  <si>
    <t>DSI Support</t>
  </si>
  <si>
    <t>Moyenne</t>
  </si>
  <si>
    <t>ITSM et inventaire</t>
  </si>
  <si>
    <t>LIC-006</t>
  </si>
  <si>
    <t>Antivirus Endpoint</t>
  </si>
  <si>
    <t>Éditeur sécurité</t>
  </si>
  <si>
    <t>Préparer renouvellement</t>
  </si>
  <si>
    <t>Protection postes utilisateurs</t>
  </si>
  <si>
    <t>Service/Domaine</t>
  </si>
  <si>
    <t>Type certificat</t>
  </si>
  <si>
    <t>Autorité</t>
  </si>
  <si>
    <t>Serveur/Application</t>
  </si>
  <si>
    <t>Environnement</t>
  </si>
  <si>
    <t>Date émission</t>
  </si>
  <si>
    <t>CERT-001</t>
  </si>
  <si>
    <t>portail.sbee.bj</t>
  </si>
  <si>
    <t>SSL/TLS</t>
  </si>
  <si>
    <t>Let's Encrypt</t>
  </si>
  <si>
    <t>Reverse proxy Web</t>
  </si>
  <si>
    <t>Production</t>
  </si>
  <si>
    <t>Admin Web</t>
  </si>
  <si>
    <t>Renouveler avant J-15</t>
  </si>
  <si>
    <t>Automatisation à vérifier</t>
  </si>
  <si>
    <t>CERT-002</t>
  </si>
  <si>
    <t>vpn.sbee.bj</t>
  </si>
  <si>
    <t>TLS VPN</t>
  </si>
  <si>
    <t>DigiCert</t>
  </si>
  <si>
    <t>Firewall VPN</t>
  </si>
  <si>
    <t>Admin Réseau</t>
  </si>
  <si>
    <t>Accès distant</t>
  </si>
  <si>
    <t>CERT-003</t>
  </si>
  <si>
    <t>mail.sbee.bj</t>
  </si>
  <si>
    <t>Wildcard SSL</t>
  </si>
  <si>
    <t>Sectigo</t>
  </si>
  <si>
    <t>Messagerie</t>
  </si>
  <si>
    <t>Renouvellement urgent</t>
  </si>
  <si>
    <t>Risque alerte navigateur/mail</t>
  </si>
  <si>
    <t>CERT-004</t>
  </si>
  <si>
    <t>api-facturation.sbee.bj</t>
  </si>
  <si>
    <t>API Gateway</t>
  </si>
  <si>
    <t>Responsable Applicatif</t>
  </si>
  <si>
    <t>API critique</t>
  </si>
  <si>
    <t>CERT-005</t>
  </si>
  <si>
    <t>intranet.sbee.local</t>
  </si>
  <si>
    <t>Certificat interne</t>
  </si>
  <si>
    <t>AD CS</t>
  </si>
  <si>
    <t>Serveur Intranet</t>
  </si>
  <si>
    <t>Interne</t>
  </si>
  <si>
    <t>Admin Système</t>
  </si>
  <si>
    <t>Planifier renouvellement</t>
  </si>
  <si>
    <t>Équipement</t>
  </si>
  <si>
    <t>Marque</t>
  </si>
  <si>
    <t>Modèle</t>
  </si>
  <si>
    <t>Site</t>
  </si>
  <si>
    <t>N° série</t>
  </si>
  <si>
    <t>Date acquisition</t>
  </si>
  <si>
    <t>Fin garantie</t>
  </si>
  <si>
    <t>Fin support</t>
  </si>
  <si>
    <t>Contrat support</t>
  </si>
  <si>
    <t>Coût renouvellement</t>
  </si>
  <si>
    <t>MAT-001</t>
  </si>
  <si>
    <t>Firewall périmétrique</t>
  </si>
  <si>
    <t>FortiGate 200F</t>
  </si>
  <si>
    <t>Datacenter principal</t>
  </si>
  <si>
    <t>FG200FXX001</t>
  </si>
  <si>
    <t>Support Premium</t>
  </si>
  <si>
    <t>MAT-002</t>
  </si>
  <si>
    <t>Switch cœur réseau</t>
  </si>
  <si>
    <t>Cisco</t>
  </si>
  <si>
    <t>Catalyst 9500</t>
  </si>
  <si>
    <t>CAT9500XX002</t>
  </si>
  <si>
    <t>SmartNet</t>
  </si>
  <si>
    <t>Renouveler support</t>
  </si>
  <si>
    <t>MAT-003</t>
  </si>
  <si>
    <t>Serveur virtualisation 01</t>
  </si>
  <si>
    <t>HPE</t>
  </si>
  <si>
    <t>DL380 Gen10</t>
  </si>
  <si>
    <t>HPE380XX003</t>
  </si>
  <si>
    <t>Support constructeur</t>
  </si>
  <si>
    <t>Action urgente</t>
  </si>
  <si>
    <t>MAT-004</t>
  </si>
  <si>
    <t>Baie stockage SAN</t>
  </si>
  <si>
    <t>Dell EMC</t>
  </si>
  <si>
    <t>Unity XT</t>
  </si>
  <si>
    <t>DELLSANXX004</t>
  </si>
  <si>
    <t>ProSupport</t>
  </si>
  <si>
    <t>MAT-005</t>
  </si>
  <si>
    <t>Routeur agence</t>
  </si>
  <si>
    <t>ISR 4331</t>
  </si>
  <si>
    <t>Agence Porto-Novo</t>
  </si>
  <si>
    <t>ISR4331XX005</t>
  </si>
  <si>
    <t>Prévoir budget</t>
  </si>
  <si>
    <t>Application</t>
  </si>
  <si>
    <t>Propriétaire métier</t>
  </si>
  <si>
    <t>Hébergement</t>
  </si>
  <si>
    <t>Prestataire</t>
  </si>
  <si>
    <t>Contrat maintenance</t>
  </si>
  <si>
    <t>Date début contrat</t>
  </si>
  <si>
    <t>Date fin contrat</t>
  </si>
  <si>
    <t>SLA</t>
  </si>
  <si>
    <t>APP-001</t>
  </si>
  <si>
    <t>Application de facturation</t>
  </si>
  <si>
    <t>Direction Commerciale</t>
  </si>
  <si>
    <t>Datacenter</t>
  </si>
  <si>
    <t>Prestataire A</t>
  </si>
  <si>
    <t>Maintenance corrective/évolutive</t>
  </si>
  <si>
    <t>99,5%</t>
  </si>
  <si>
    <t>Renouveler contrat</t>
  </si>
  <si>
    <t>APP-002</t>
  </si>
  <si>
    <t>SIRH</t>
  </si>
  <si>
    <t>DRH</t>
  </si>
  <si>
    <t>Cloud privé</t>
  </si>
  <si>
    <t>Prestataire B</t>
  </si>
  <si>
    <t>Heures ouvrées</t>
  </si>
  <si>
    <t>APP-003</t>
  </si>
  <si>
    <t>GED Courriers</t>
  </si>
  <si>
    <t>Secrétariat Général</t>
  </si>
  <si>
    <t>Prestataire C</t>
  </si>
  <si>
    <t>Maintenance annuelle</t>
  </si>
  <si>
    <t>APP-004</t>
  </si>
  <si>
    <t>Portail client</t>
  </si>
  <si>
    <t>Direction Clientèle</t>
  </si>
  <si>
    <t>Cloud</t>
  </si>
  <si>
    <t>Prestataire D</t>
  </si>
  <si>
    <t>Support + hébergement</t>
  </si>
  <si>
    <t>99,9%</t>
  </si>
  <si>
    <t>APP-005</t>
  </si>
  <si>
    <t>Supervision réseau</t>
  </si>
  <si>
    <t>Support communautaire</t>
  </si>
  <si>
    <t>Best effort</t>
  </si>
  <si>
    <t>Évaluer support pro</t>
  </si>
  <si>
    <t>Fournisseur</t>
  </si>
  <si>
    <t>Type contrat</t>
  </si>
  <si>
    <t>Référence marché/BC</t>
  </si>
  <si>
    <t>Périmètre</t>
  </si>
  <si>
    <t>Responsable interne</t>
  </si>
  <si>
    <t>Date fin</t>
  </si>
  <si>
    <t>Montant annuel</t>
  </si>
  <si>
    <t>Préavis contractuel</t>
  </si>
  <si>
    <t>CTR-001</t>
  </si>
  <si>
    <t>Resp. Réseau</t>
  </si>
  <si>
    <t>CTR-002</t>
  </si>
  <si>
    <t>RSSI</t>
  </si>
  <si>
    <t>CTR-003</t>
  </si>
  <si>
    <t>CTR-004</t>
  </si>
  <si>
    <t>Resp. Applicatif</t>
  </si>
  <si>
    <t>CTR-005</t>
  </si>
  <si>
    <t>Hébergement cloud</t>
  </si>
  <si>
    <t>Actif</t>
  </si>
  <si>
    <t>Catégorie</t>
  </si>
  <si>
    <t>Préavis J-90</t>
  </si>
  <si>
    <t>Préavis J-60</t>
  </si>
  <si>
    <t>Préavis J-30</t>
  </si>
  <si>
    <t>Priorité</t>
  </si>
  <si>
    <t>Budget estimé</t>
  </si>
  <si>
    <t>État avancement</t>
  </si>
  <si>
    <t>PLAN-001</t>
  </si>
  <si>
    <t>Licence</t>
  </si>
  <si>
    <t>Lancer expression de besoin</t>
  </si>
  <si>
    <t>À initier</t>
  </si>
  <si>
    <t>PLAN-002</t>
  </si>
  <si>
    <t>Certificat</t>
  </si>
  <si>
    <t>Renouveler certificat</t>
  </si>
  <si>
    <t>En cours</t>
  </si>
  <si>
    <t>PLAN-003</t>
  </si>
  <si>
    <t>Switch cœur réseau Catalyst 9500</t>
  </si>
  <si>
    <t>Matériel support</t>
  </si>
  <si>
    <t>Renouveler SmartNet</t>
  </si>
  <si>
    <t>PLAN-004</t>
  </si>
  <si>
    <t>Contrat SOC/Monitoring</t>
  </si>
  <si>
    <t>Contrat fournisseur</t>
  </si>
  <si>
    <t>Arbitrage renouvellement</t>
  </si>
  <si>
    <t>PLAN-005</t>
  </si>
  <si>
    <t>Application métier</t>
  </si>
  <si>
    <t>Préparer marché</t>
  </si>
  <si>
    <t>Non démarré</t>
  </si>
  <si>
    <t>PLAN-006</t>
  </si>
  <si>
    <t>TABLEAU DE BORD - Suivi des licences, certificats, matériels et contrats</t>
  </si>
  <si>
    <t>Indicateur</t>
  </si>
  <si>
    <t>Valeur</t>
  </si>
  <si>
    <t>Commentaire</t>
  </si>
  <si>
    <t>Total licences suivies</t>
  </si>
  <si>
    <t>Toutes licences logicielles</t>
  </si>
  <si>
    <t>Total certificats suivis</t>
  </si>
  <si>
    <t>Certificats SSL/TLS et internes</t>
  </si>
  <si>
    <t>Total matériels suivis</t>
  </si>
  <si>
    <t>Garantie / support constructeur</t>
  </si>
  <si>
    <t>Total applications suivies</t>
  </si>
  <si>
    <t>Contrats maintenance applicative</t>
  </si>
  <si>
    <t>Total contrats fournisseurs</t>
  </si>
  <si>
    <t>Contrats DSI et prestataires</t>
  </si>
  <si>
    <t>Échéances critiques &lt; 30 j</t>
  </si>
  <si>
    <t>À traiter en priorité</t>
  </si>
  <si>
    <t>Échéances à surveiller &lt; 90 j</t>
  </si>
  <si>
    <t>Préparation renouvellement</t>
  </si>
  <si>
    <t>Budget estimé renouvellements</t>
  </si>
  <si>
    <t>Budget fictif consolidé</t>
  </si>
  <si>
    <t>Répartition des actifs par catégorie</t>
  </si>
  <si>
    <t>Légende d'alerte</t>
  </si>
  <si>
    <t>Nombre</t>
  </si>
  <si>
    <t>Règle</t>
  </si>
  <si>
    <t>Licences</t>
  </si>
  <si>
    <t>CRITIQUE</t>
  </si>
  <si>
    <t>Jours restants ≤ 30 ou expiré</t>
  </si>
  <si>
    <t>Certificats</t>
  </si>
  <si>
    <t>ALERTE</t>
  </si>
  <si>
    <t>31 à 90 jours</t>
  </si>
  <si>
    <t>Matériels</t>
  </si>
  <si>
    <t>OK</t>
  </si>
  <si>
    <t>&gt; 90 jours</t>
  </si>
  <si>
    <t>Applications</t>
  </si>
  <si>
    <t>Contrats fournisseurs</t>
  </si>
  <si>
    <t>sbee.bj</t>
  </si>
  <si>
    <t>Site web / Domaine sbee.bj</t>
  </si>
  <si>
    <t>Production et interne</t>
  </si>
  <si>
    <t>Webmaster</t>
  </si>
  <si>
    <t>LIC-007</t>
  </si>
  <si>
    <t>LIC-008</t>
  </si>
  <si>
    <t>LIC-009</t>
  </si>
  <si>
    <t>LIC-010</t>
  </si>
  <si>
    <t>LIC-011</t>
  </si>
  <si>
    <t>Fournissuer VPS</t>
  </si>
  <si>
    <t>Internet</t>
  </si>
  <si>
    <t>CTR-006</t>
  </si>
  <si>
    <t>WP-Rocket</t>
  </si>
  <si>
    <t>Uncanny Automator</t>
  </si>
  <si>
    <t>Elementor</t>
  </si>
  <si>
    <t>Yoast SEO</t>
  </si>
  <si>
    <t>WordFence</t>
  </si>
  <si>
    <t>Figma</t>
  </si>
  <si>
    <t>LIC-012</t>
  </si>
  <si>
    <t>DSI - CCOM</t>
  </si>
  <si>
    <t>Faible</t>
  </si>
  <si>
    <t>APIs canaux de diffusion</t>
  </si>
  <si>
    <t>Construction du site</t>
  </si>
  <si>
    <t>Fluidité du site</t>
  </si>
  <si>
    <t>Référencement</t>
  </si>
  <si>
    <t>Securité</t>
  </si>
  <si>
    <t>Design</t>
  </si>
  <si>
    <t>WP Media</t>
  </si>
  <si>
    <t>Uncanny Owl</t>
  </si>
  <si>
    <t>Elementor Ltd.</t>
  </si>
  <si>
    <t>Newfold Digital</t>
  </si>
  <si>
    <t>Defiant Inc.</t>
  </si>
  <si>
    <t>Figma, Inc.</t>
  </si>
  <si>
    <t xml:space="preserve">L-FPR1120T-TMC-1Y </t>
  </si>
  <si>
    <t>Service SRTT</t>
  </si>
  <si>
    <t>DSI-TD</t>
  </si>
  <si>
    <t>Sous seuil de dispense 4 000 000 XOF</t>
  </si>
  <si>
    <t xml:space="preserve">L-AC-PLS-1Y-S2 </t>
  </si>
  <si>
    <t>Colonne1</t>
  </si>
  <si>
    <t>MAT-006</t>
  </si>
  <si>
    <t>MAT-007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</si>
</sst>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XOF&quot;"/>
  </numFmts>
  <fonts count="9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2"/>
      <name val="Carlito"/>
    </font>
    <font>
      <b/>
      <sz val="11"/>
      <color rgb="FF7F1D1D"/>
      <name val="Carlito"/>
    </font>
    <font>
      <b/>
      <sz val="11"/>
      <color rgb="FF78350F"/>
      <name val="Carlito"/>
    </font>
    <font>
      <b/>
      <sz val="11"/>
      <color rgb="FF14532D"/>
      <name val="Carlito"/>
    </font>
    <font>
      <sz val="10"/>
      <name val="Arial"/>
      <family val="2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172A"/>
      </patternFill>
    </fill>
    <fill>
      <patternFill patternType="solid">
        <fgColor rgb="FFFECACA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14" fontId="0" fillId="0" borderId="0" xfId="0" applyNumberFormat="1"/>
    <xf numFmtId="0" fontId="7" fillId="0" borderId="0" xfId="0" applyFont="1" applyBorder="1" applyAlignment="1">
      <alignment wrapText="1"/>
    </xf>
    <xf numFmtId="14" fontId="0" fillId="0" borderId="0" xfId="0" applyNumberFormat="1" applyAlignment="1">
      <alignment horizontal="right"/>
    </xf>
    <xf numFmtId="14" fontId="7" fillId="0" borderId="0" xfId="0" applyNumberFormat="1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19">
    <dxf>
      <font>
        <b/>
        <color rgb="FF14532D"/>
      </font>
      <fill>
        <patternFill patternType="solid">
          <bgColor rgb="FFDCFCE7"/>
        </patternFill>
      </fill>
    </dxf>
    <dxf>
      <font>
        <b/>
        <color rgb="FF78350F"/>
      </font>
      <fill>
        <patternFill patternType="solid">
          <bgColor rgb="FFFEF3C7"/>
        </patternFill>
      </fill>
    </dxf>
    <dxf>
      <font>
        <b/>
        <color rgb="FF7F1D1D"/>
      </font>
      <fill>
        <patternFill patternType="solid">
          <bgColor rgb="FFFECACA"/>
        </patternFill>
      </fill>
    </dxf>
    <dxf>
      <font>
        <b/>
        <color rgb="FF14532D"/>
      </font>
      <fill>
        <patternFill patternType="solid">
          <bgColor rgb="FFDCFCE7"/>
        </patternFill>
      </fill>
    </dxf>
    <dxf>
      <font>
        <b/>
        <color rgb="FF78350F"/>
      </font>
      <fill>
        <patternFill patternType="solid">
          <bgColor rgb="FFFEF3C7"/>
        </patternFill>
      </fill>
    </dxf>
    <dxf>
      <font>
        <b/>
        <color rgb="FF7F1D1D"/>
      </font>
      <fill>
        <patternFill patternType="solid">
          <bgColor rgb="FFFECACA"/>
        </patternFill>
      </fill>
    </dxf>
    <dxf>
      <font>
        <b/>
        <color rgb="FF14532D"/>
      </font>
      <fill>
        <patternFill patternType="solid">
          <bgColor rgb="FFDCFCE7"/>
        </patternFill>
      </fill>
    </dxf>
    <dxf>
      <font>
        <b/>
        <color rgb="FF78350F"/>
      </font>
      <fill>
        <patternFill patternType="solid">
          <bgColor rgb="FFFEF3C7"/>
        </patternFill>
      </fill>
    </dxf>
    <dxf>
      <font>
        <b/>
        <color rgb="FF7F1D1D"/>
      </font>
      <fill>
        <patternFill patternType="solid">
          <bgColor rgb="FFFECACA"/>
        </patternFill>
      </fill>
    </dxf>
    <dxf>
      <font>
        <b/>
        <color rgb="FF14532D"/>
      </font>
      <fill>
        <patternFill patternType="solid">
          <bgColor rgb="FFDCFCE7"/>
        </patternFill>
      </fill>
    </dxf>
    <dxf>
      <font>
        <b/>
        <color rgb="FF78350F"/>
      </font>
      <fill>
        <patternFill patternType="solid">
          <bgColor rgb="FFFEF3C7"/>
        </patternFill>
      </fill>
    </dxf>
    <dxf>
      <font>
        <b/>
        <color rgb="FF7F1D1D"/>
      </font>
      <fill>
        <patternFill patternType="solid">
          <bgColor rgb="FFFECACA"/>
        </patternFill>
      </fill>
    </dxf>
    <dxf>
      <font>
        <b/>
        <color rgb="FF14532D"/>
      </font>
      <fill>
        <patternFill patternType="solid">
          <bgColor rgb="FFDCFCE7"/>
        </patternFill>
      </fill>
    </dxf>
    <dxf>
      <font>
        <b/>
        <color rgb="FF78350F"/>
      </font>
      <fill>
        <patternFill patternType="solid">
          <bgColor rgb="FFFEF3C7"/>
        </patternFill>
      </fill>
    </dxf>
    <dxf>
      <font>
        <b/>
        <color rgb="FF7F1D1D"/>
      </font>
      <fill>
        <patternFill patternType="solid">
          <bgColor rgb="FFFECACA"/>
        </patternFill>
      </fill>
    </dxf>
    <dxf>
      <font>
        <b/>
        <color rgb="FF14532D"/>
      </font>
      <fill>
        <patternFill patternType="solid">
          <bgColor rgb="FFDCFCE7"/>
        </patternFill>
      </fill>
    </dxf>
    <dxf>
      <font>
        <b/>
        <color rgb="FF78350F"/>
      </font>
      <fill>
        <patternFill patternType="solid">
          <bgColor rgb="FFFEF3C7"/>
        </patternFill>
      </fill>
    </dxf>
    <dxf>
      <font>
        <b/>
        <color rgb="FF7F1D1D"/>
      </font>
      <fill>
        <patternFill patternType="solid">
          <bgColor rgb="FFFECACA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Nombre</c:v>
          </c:tx>
          <c:invertIfNegative val="1"/>
          <c:cat>
            <c:strRef>
              <c:f>Dashboard!$A$15:$A$19</c:f>
              <c:strCache>
                <c:ptCount val="5"/>
                <c:pt idx="0">
                  <c:v>Licences</c:v>
                </c:pt>
                <c:pt idx="1">
                  <c:v>Certificats</c:v>
                </c:pt>
                <c:pt idx="2">
                  <c:v>Matériels</c:v>
                </c:pt>
                <c:pt idx="3">
                  <c:v>Applications</c:v>
                </c:pt>
                <c:pt idx="4">
                  <c:v>Contrats fournisseurs</c:v>
                </c:pt>
              </c:strCache>
            </c:strRef>
          </c:cat>
          <c:val>
            <c:numRef>
              <c:f>Dashboard!$B$15:$B$19</c:f>
              <c:numCache>
                <c:formatCode>General</c:formatCode>
                <c:ptCount val="5"/>
                <c:pt idx="0">
                  <c:v>12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A-4380-9426-05890EB0F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0</xdr:colOff>
      <xdr:row>12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cencesTable" displayName="LicencesTable" ref="A1:P13">
  <tableColumns count="16">
    <tableColumn id="1" xr3:uid="{00000000-0010-0000-0000-000001000000}" name="ID"/>
    <tableColumn id="2" xr3:uid="{00000000-0010-0000-0000-000002000000}" name="Logiciel"/>
    <tableColumn id="3" xr3:uid="{00000000-0010-0000-0000-000003000000}" name="Éditeur"/>
    <tableColumn id="4" xr3:uid="{00000000-0010-0000-0000-000004000000}" name="Nb licences"/>
    <tableColumn id="5" xr3:uid="{00000000-0010-0000-0000-000005000000}" name="Type"/>
    <tableColumn id="6" xr3:uid="{00000000-0010-0000-0000-000006000000}" name="Responsable"/>
    <tableColumn id="7" xr3:uid="{00000000-0010-0000-0000-000007000000}" name="Direction utilisatrice"/>
    <tableColumn id="8" xr3:uid="{00000000-0010-0000-0000-000008000000}" name="Date début"/>
    <tableColumn id="9" xr3:uid="{00000000-0010-0000-0000-000009000000}" name="Date expiration"/>
    <tableColumn id="10" xr3:uid="{00000000-0010-0000-0000-00000A000000}" name="Jours restants"/>
    <tableColumn id="11" xr3:uid="{00000000-0010-0000-0000-00000B000000}" name="Criticité"/>
    <tableColumn id="12" xr3:uid="{00000000-0010-0000-0000-00000C000000}" name="Coût annuel"/>
    <tableColumn id="13" xr3:uid="{00000000-0010-0000-0000-00000D000000}" name="Budget prévu"/>
    <tableColumn id="14" xr3:uid="{00000000-0010-0000-0000-00000E000000}" name="Statut"/>
    <tableColumn id="15" xr3:uid="{00000000-0010-0000-0000-00000F000000}" name="Action"/>
    <tableColumn id="16" xr3:uid="{00000000-0010-0000-0000-000010000000}" name="Observ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ertificatsTable" displayName="CertificatsTable" ref="A1:M7">
  <tableColumns count="13">
    <tableColumn id="1" xr3:uid="{00000000-0010-0000-0100-000001000000}" name="ID"/>
    <tableColumn id="2" xr3:uid="{00000000-0010-0000-0100-000002000000}" name="Service/Domaine"/>
    <tableColumn id="3" xr3:uid="{00000000-0010-0000-0100-000003000000}" name="Type certificat"/>
    <tableColumn id="4" xr3:uid="{00000000-0010-0000-0100-000004000000}" name="Autorité"/>
    <tableColumn id="5" xr3:uid="{00000000-0010-0000-0100-000005000000}" name="Serveur/Application"/>
    <tableColumn id="6" xr3:uid="{00000000-0010-0000-0100-000006000000}" name="Environnement"/>
    <tableColumn id="7" xr3:uid="{00000000-0010-0000-0100-000007000000}" name="Date émission"/>
    <tableColumn id="8" xr3:uid="{00000000-0010-0000-0100-000008000000}" name="Date expiration"/>
    <tableColumn id="9" xr3:uid="{00000000-0010-0000-0100-000009000000}" name="Jours restants"/>
    <tableColumn id="10" xr3:uid="{00000000-0010-0000-0100-00000A000000}" name="Responsable"/>
    <tableColumn id="11" xr3:uid="{00000000-0010-0000-0100-00000B000000}" name="Statut"/>
    <tableColumn id="12" xr3:uid="{00000000-0010-0000-0100-00000C000000}" name="Action"/>
    <tableColumn id="13" xr3:uid="{00000000-0010-0000-0100-00000D000000}" name="Observ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terielsTable" displayName="MaterielsTable" ref="A1:P9">
  <tableColumns count="16">
    <tableColumn id="1" xr3:uid="{00000000-0010-0000-0200-000001000000}" name="ID"/>
    <tableColumn id="2" xr3:uid="{00000000-0010-0000-0200-000002000000}" name="Équipement"/>
    <tableColumn id="3" xr3:uid="{00000000-0010-0000-0200-000003000000}" name="Marque"/>
    <tableColumn id="4" xr3:uid="{00000000-0010-0000-0200-000004000000}" name="Modèle"/>
    <tableColumn id="16" xr3:uid="{9D7156A5-C563-4CFF-8588-5D0B74C683A1}" name="Colonne1" dataDxfId="18"/>
    <tableColumn id="5" xr3:uid="{00000000-0010-0000-0200-000005000000}" name="Site"/>
    <tableColumn id="6" xr3:uid="{00000000-0010-0000-0200-000006000000}" name="N° série"/>
    <tableColumn id="7" xr3:uid="{00000000-0010-0000-0200-000007000000}" name="Date acquisition"/>
    <tableColumn id="8" xr3:uid="{00000000-0010-0000-0200-000008000000}" name="Fin garantie"/>
    <tableColumn id="9" xr3:uid="{00000000-0010-0000-0200-000009000000}" name="Fin support"/>
    <tableColumn id="10" xr3:uid="{00000000-0010-0000-0200-00000A000000}" name="Jours restants"/>
    <tableColumn id="11" xr3:uid="{00000000-0010-0000-0200-00000B000000}" name="Criticité"/>
    <tableColumn id="12" xr3:uid="{00000000-0010-0000-0200-00000C000000}" name="Contrat support"/>
    <tableColumn id="13" xr3:uid="{00000000-0010-0000-0200-00000D000000}" name="Coût renouvellement"/>
    <tableColumn id="14" xr3:uid="{00000000-0010-0000-0200-00000E000000}" name="Statut"/>
    <tableColumn id="15" xr3:uid="{00000000-0010-0000-0200-00000F000000}" name="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pplicationsTable" displayName="ApplicationsTable" ref="A1:O6">
  <tableColumns count="15">
    <tableColumn id="1" xr3:uid="{00000000-0010-0000-0300-000001000000}" name="ID"/>
    <tableColumn id="2" xr3:uid="{00000000-0010-0000-0300-000002000000}" name="Application"/>
    <tableColumn id="3" xr3:uid="{00000000-0010-0000-0300-000003000000}" name="Propriétaire métier"/>
    <tableColumn id="4" xr3:uid="{00000000-0010-0000-0300-000004000000}" name="Environnement"/>
    <tableColumn id="5" xr3:uid="{00000000-0010-0000-0300-000005000000}" name="Hébergement"/>
    <tableColumn id="6" xr3:uid="{00000000-0010-0000-0300-000006000000}" name="Prestataire"/>
    <tableColumn id="7" xr3:uid="{00000000-0010-0000-0300-000007000000}" name="Contrat maintenance"/>
    <tableColumn id="8" xr3:uid="{00000000-0010-0000-0300-000008000000}" name="Date début contrat"/>
    <tableColumn id="9" xr3:uid="{00000000-0010-0000-0300-000009000000}" name="Date fin contrat"/>
    <tableColumn id="10" xr3:uid="{00000000-0010-0000-0300-00000A000000}" name="Jours restants"/>
    <tableColumn id="11" xr3:uid="{00000000-0010-0000-0300-00000B000000}" name="Criticité"/>
    <tableColumn id="12" xr3:uid="{00000000-0010-0000-0300-00000C000000}" name="SLA"/>
    <tableColumn id="13" xr3:uid="{00000000-0010-0000-0300-00000D000000}" name="Coût annuel"/>
    <tableColumn id="14" xr3:uid="{00000000-0010-0000-0300-00000E000000}" name="Statut"/>
    <tableColumn id="15" xr3:uid="{00000000-0010-0000-0300-00000F000000}" name="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tratsTable" displayName="ContratsTable" ref="A1:M7">
  <tableColumns count="13">
    <tableColumn id="1" xr3:uid="{00000000-0010-0000-0400-000001000000}" name="ID"/>
    <tableColumn id="2" xr3:uid="{00000000-0010-0000-0400-000002000000}" name="Fournisseur"/>
    <tableColumn id="3" xr3:uid="{00000000-0010-0000-0400-000003000000}" name="Type contrat"/>
    <tableColumn id="4" xr3:uid="{00000000-0010-0000-0400-000004000000}" name="Référence marché/BC"/>
    <tableColumn id="5" xr3:uid="{00000000-0010-0000-0400-000005000000}" name="Périmètre"/>
    <tableColumn id="6" xr3:uid="{00000000-0010-0000-0400-000006000000}" name="Responsable interne"/>
    <tableColumn id="7" xr3:uid="{00000000-0010-0000-0400-000007000000}" name="Date début"/>
    <tableColumn id="8" xr3:uid="{00000000-0010-0000-0400-000008000000}" name="Date fin"/>
    <tableColumn id="9" xr3:uid="{00000000-0010-0000-0400-000009000000}" name="Jours restants"/>
    <tableColumn id="10" xr3:uid="{00000000-0010-0000-0400-00000A000000}" name="Montant annuel"/>
    <tableColumn id="11" xr3:uid="{00000000-0010-0000-0400-00000B000000}" name="Statut"/>
    <tableColumn id="12" xr3:uid="{00000000-0010-0000-0400-00000C000000}" name="Préavis contractuel"/>
    <tableColumn id="13" xr3:uid="{00000000-0010-0000-0400-00000D000000}" name="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lanningTable" displayName="PlanningTable" ref="A1:M7">
  <tableColumns count="13">
    <tableColumn id="1" xr3:uid="{00000000-0010-0000-0500-000001000000}" name="ID"/>
    <tableColumn id="2" xr3:uid="{00000000-0010-0000-0500-000002000000}" name="Actif"/>
    <tableColumn id="3" xr3:uid="{00000000-0010-0000-0500-000003000000}" name="Catégorie"/>
    <tableColumn id="4" xr3:uid="{00000000-0010-0000-0500-000004000000}" name="Responsable"/>
    <tableColumn id="5" xr3:uid="{00000000-0010-0000-0500-000005000000}" name="Date expiration"/>
    <tableColumn id="6" xr3:uid="{00000000-0010-0000-0500-000006000000}" name="Jours restants"/>
    <tableColumn id="7" xr3:uid="{00000000-0010-0000-0500-000007000000}" name="Préavis J-90"/>
    <tableColumn id="8" xr3:uid="{00000000-0010-0000-0500-000008000000}" name="Préavis J-60"/>
    <tableColumn id="9" xr3:uid="{00000000-0010-0000-0500-000009000000}" name="Préavis J-30"/>
    <tableColumn id="10" xr3:uid="{00000000-0010-0000-0500-00000A000000}" name="Priorité"/>
    <tableColumn id="11" xr3:uid="{00000000-0010-0000-0500-00000B000000}" name="Budget estimé"/>
    <tableColumn id="12" xr3:uid="{00000000-0010-0000-0500-00000C000000}" name="Action"/>
    <tableColumn id="13" xr3:uid="{00000000-0010-0000-0500-00000D000000}" name="État avanc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topLeftCell="F1" workbookViewId="0">
      <selection activeCell="H21" sqref="H21"/>
    </sheetView>
  </sheetViews>
  <sheetFormatPr baseColWidth="10" defaultColWidth="9.0703125" defaultRowHeight="14.15"/>
  <cols>
    <col min="1" max="1" width="18" customWidth="1"/>
    <col min="2" max="6" width="22" customWidth="1"/>
    <col min="7" max="12" width="18" customWidth="1"/>
    <col min="13" max="14" width="22" customWidth="1"/>
    <col min="15" max="15" width="18" customWidth="1"/>
    <col min="16" max="16" width="20.5703125" customWidth="1"/>
  </cols>
  <sheetData>
    <row r="1" spans="1:16" ht="28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2.45">
      <c r="A2" s="2" t="s">
        <v>16</v>
      </c>
      <c r="B2" s="2" t="s">
        <v>17</v>
      </c>
      <c r="C2" s="2" t="s">
        <v>18</v>
      </c>
      <c r="D2" s="2">
        <v>1200</v>
      </c>
      <c r="E2" s="2" t="s">
        <v>19</v>
      </c>
      <c r="F2" s="2" t="s">
        <v>20</v>
      </c>
      <c r="G2" s="2" t="s">
        <v>21</v>
      </c>
      <c r="H2" s="3">
        <v>46023</v>
      </c>
      <c r="I2" s="3">
        <v>46387</v>
      </c>
      <c r="J2" s="5">
        <f t="shared" ref="J2:J13" ca="1" si="0">I2-TODAY()</f>
        <v>175</v>
      </c>
      <c r="K2" s="2" t="s">
        <v>22</v>
      </c>
      <c r="L2" s="4">
        <v>45000000</v>
      </c>
      <c r="M2" s="4">
        <v>50000000</v>
      </c>
      <c r="N2" s="2" t="str">
        <f t="shared" ref="N2:N7" ca="1" si="1">IF(J2&lt;=0,"EXPIRÉ",IF(J2&lt;=30,"CRITIQUE",IF(J2&lt;=90,"ALERTE","OK")))</f>
        <v>OK</v>
      </c>
      <c r="O2" s="2" t="s">
        <v>23</v>
      </c>
      <c r="P2" s="2" t="s">
        <v>24</v>
      </c>
    </row>
    <row r="3" spans="1:16" ht="28.3">
      <c r="A3" s="2" t="s">
        <v>25</v>
      </c>
      <c r="B3" s="2" t="s">
        <v>26</v>
      </c>
      <c r="C3" s="2" t="s">
        <v>27</v>
      </c>
      <c r="D3" s="2">
        <v>12</v>
      </c>
      <c r="E3" s="2" t="s">
        <v>28</v>
      </c>
      <c r="F3" s="2" t="s">
        <v>29</v>
      </c>
      <c r="G3" s="2" t="s">
        <v>30</v>
      </c>
      <c r="H3" s="3">
        <v>45870</v>
      </c>
      <c r="I3" s="3">
        <v>46235</v>
      </c>
      <c r="J3" s="5">
        <f t="shared" ca="1" si="0"/>
        <v>23</v>
      </c>
      <c r="K3" s="2" t="s">
        <v>22</v>
      </c>
      <c r="L3" s="4">
        <v>18000000</v>
      </c>
      <c r="M3" s="4">
        <v>20000000</v>
      </c>
      <c r="N3" s="2" t="str">
        <f t="shared" ca="1" si="1"/>
        <v>CRITIQUE</v>
      </c>
      <c r="O3" s="2" t="s">
        <v>31</v>
      </c>
      <c r="P3" s="2" t="s">
        <v>32</v>
      </c>
    </row>
    <row r="4" spans="1:16">
      <c r="A4" s="2" t="s">
        <v>33</v>
      </c>
      <c r="B4" s="2" t="s">
        <v>34</v>
      </c>
      <c r="C4" s="2" t="s">
        <v>35</v>
      </c>
      <c r="D4" s="2">
        <v>2</v>
      </c>
      <c r="E4" s="2" t="s">
        <v>19</v>
      </c>
      <c r="F4" s="2" t="s">
        <v>36</v>
      </c>
      <c r="G4" s="2" t="s">
        <v>37</v>
      </c>
      <c r="H4" s="3">
        <v>46068</v>
      </c>
      <c r="I4" s="3">
        <v>46433</v>
      </c>
      <c r="J4" s="5">
        <f t="shared" ca="1" si="0"/>
        <v>221</v>
      </c>
      <c r="K4" s="2" t="s">
        <v>38</v>
      </c>
      <c r="L4" s="4">
        <v>7500000</v>
      </c>
      <c r="M4" s="4">
        <v>8000000</v>
      </c>
      <c r="N4" s="2" t="str">
        <f t="shared" ca="1" si="1"/>
        <v>OK</v>
      </c>
      <c r="O4" s="2" t="s">
        <v>39</v>
      </c>
      <c r="P4" s="2" t="s">
        <v>40</v>
      </c>
    </row>
    <row r="5" spans="1:16" ht="28.3">
      <c r="A5" s="2" t="s">
        <v>41</v>
      </c>
      <c r="B5" s="2" t="s">
        <v>42</v>
      </c>
      <c r="C5" s="2" t="s">
        <v>43</v>
      </c>
      <c r="D5" s="2">
        <v>4</v>
      </c>
      <c r="E5" s="2" t="s">
        <v>19</v>
      </c>
      <c r="F5" s="2" t="s">
        <v>44</v>
      </c>
      <c r="G5" s="2" t="s">
        <v>30</v>
      </c>
      <c r="H5" s="3">
        <v>46122</v>
      </c>
      <c r="I5" s="3">
        <v>46487</v>
      </c>
      <c r="J5" s="5">
        <f t="shared" ca="1" si="0"/>
        <v>275</v>
      </c>
      <c r="K5" s="2" t="s">
        <v>22</v>
      </c>
      <c r="L5" s="4">
        <v>6200000</v>
      </c>
      <c r="M5" s="4">
        <v>7000000</v>
      </c>
      <c r="N5" s="2" t="str">
        <f t="shared" ca="1" si="1"/>
        <v>OK</v>
      </c>
      <c r="O5" s="2" t="s">
        <v>39</v>
      </c>
      <c r="P5" s="2" t="s">
        <v>45</v>
      </c>
    </row>
    <row r="6" spans="1:16">
      <c r="A6" s="2" t="s">
        <v>46</v>
      </c>
      <c r="B6" s="2" t="s">
        <v>47</v>
      </c>
      <c r="C6" s="2" t="s">
        <v>48</v>
      </c>
      <c r="D6" s="2">
        <v>1</v>
      </c>
      <c r="E6" s="2" t="s">
        <v>49</v>
      </c>
      <c r="F6" s="2" t="s">
        <v>50</v>
      </c>
      <c r="G6" s="2" t="s">
        <v>51</v>
      </c>
      <c r="H6" s="3">
        <v>46143</v>
      </c>
      <c r="I6" s="3">
        <v>46508</v>
      </c>
      <c r="J6" s="5">
        <f t="shared" ca="1" si="0"/>
        <v>296</v>
      </c>
      <c r="K6" s="2" t="s">
        <v>52</v>
      </c>
      <c r="L6" s="4">
        <v>1500000</v>
      </c>
      <c r="M6" s="4">
        <v>2000000</v>
      </c>
      <c r="N6" s="2" t="str">
        <f t="shared" ca="1" si="1"/>
        <v>OK</v>
      </c>
      <c r="O6" s="2" t="s">
        <v>39</v>
      </c>
      <c r="P6" s="2" t="s">
        <v>53</v>
      </c>
    </row>
    <row r="7" spans="1:16" ht="28.3">
      <c r="A7" s="2" t="s">
        <v>54</v>
      </c>
      <c r="B7" s="2" t="s">
        <v>55</v>
      </c>
      <c r="C7" s="2" t="s">
        <v>56</v>
      </c>
      <c r="D7" s="2">
        <v>1800</v>
      </c>
      <c r="E7" s="2" t="s">
        <v>19</v>
      </c>
      <c r="F7" s="2" t="s">
        <v>36</v>
      </c>
      <c r="G7" s="2" t="s">
        <v>21</v>
      </c>
      <c r="H7" s="3">
        <v>45962</v>
      </c>
      <c r="I7" s="3">
        <v>46327</v>
      </c>
      <c r="J7" s="5">
        <f t="shared" ca="1" si="0"/>
        <v>115</v>
      </c>
      <c r="K7" s="2" t="s">
        <v>22</v>
      </c>
      <c r="L7" s="4">
        <v>24000000</v>
      </c>
      <c r="M7" s="4">
        <v>26000000</v>
      </c>
      <c r="N7" s="2" t="str">
        <f t="shared" ca="1" si="1"/>
        <v>OK</v>
      </c>
      <c r="O7" s="2" t="s">
        <v>57</v>
      </c>
      <c r="P7" s="2" t="s">
        <v>58</v>
      </c>
    </row>
    <row r="8" spans="1:16">
      <c r="A8" t="s">
        <v>267</v>
      </c>
      <c r="B8" s="12" t="s">
        <v>275</v>
      </c>
      <c r="C8" t="s">
        <v>290</v>
      </c>
      <c r="D8">
        <v>1</v>
      </c>
      <c r="E8" t="s">
        <v>19</v>
      </c>
      <c r="F8" t="s">
        <v>266</v>
      </c>
      <c r="G8" t="s">
        <v>30</v>
      </c>
      <c r="H8" s="14">
        <v>45947</v>
      </c>
      <c r="I8" s="13">
        <v>46311</v>
      </c>
      <c r="J8" s="5">
        <f t="shared" ca="1" si="0"/>
        <v>99</v>
      </c>
      <c r="K8" t="s">
        <v>52</v>
      </c>
      <c r="L8" s="4">
        <v>182900</v>
      </c>
      <c r="N8" t="s">
        <v>259</v>
      </c>
      <c r="O8" t="s">
        <v>39</v>
      </c>
      <c r="P8" t="s">
        <v>286</v>
      </c>
    </row>
    <row r="9" spans="1:16">
      <c r="A9" t="s">
        <v>268</v>
      </c>
      <c r="B9" s="12" t="s">
        <v>276</v>
      </c>
      <c r="C9" t="s">
        <v>291</v>
      </c>
      <c r="D9">
        <v>1</v>
      </c>
      <c r="E9" t="s">
        <v>19</v>
      </c>
      <c r="F9" t="s">
        <v>266</v>
      </c>
      <c r="G9" t="s">
        <v>30</v>
      </c>
      <c r="H9" s="14">
        <v>45965</v>
      </c>
      <c r="I9" s="13">
        <v>46329</v>
      </c>
      <c r="J9" s="5">
        <f t="shared" ca="1" si="0"/>
        <v>117</v>
      </c>
      <c r="K9" t="s">
        <v>283</v>
      </c>
      <c r="L9" s="4">
        <v>351050</v>
      </c>
      <c r="N9" t="s">
        <v>259</v>
      </c>
      <c r="O9" t="s">
        <v>39</v>
      </c>
      <c r="P9" t="s">
        <v>284</v>
      </c>
    </row>
    <row r="10" spans="1:16">
      <c r="A10" t="s">
        <v>269</v>
      </c>
      <c r="B10" s="12" t="s">
        <v>277</v>
      </c>
      <c r="C10" t="s">
        <v>292</v>
      </c>
      <c r="D10">
        <v>1</v>
      </c>
      <c r="E10" t="s">
        <v>19</v>
      </c>
      <c r="F10" t="s">
        <v>266</v>
      </c>
      <c r="G10" t="s">
        <v>30</v>
      </c>
      <c r="H10" s="14">
        <v>45948</v>
      </c>
      <c r="I10" s="13">
        <v>46312</v>
      </c>
      <c r="J10" s="5">
        <f t="shared" ca="1" si="0"/>
        <v>100</v>
      </c>
      <c r="K10" t="s">
        <v>52</v>
      </c>
      <c r="L10" s="4">
        <v>185850</v>
      </c>
      <c r="N10" t="s">
        <v>259</v>
      </c>
      <c r="O10" t="s">
        <v>39</v>
      </c>
      <c r="P10" t="s">
        <v>285</v>
      </c>
    </row>
    <row r="11" spans="1:16" ht="13.2" customHeight="1">
      <c r="A11" t="s">
        <v>270</v>
      </c>
      <c r="B11" s="12" t="s">
        <v>278</v>
      </c>
      <c r="C11" t="s">
        <v>293</v>
      </c>
      <c r="D11">
        <v>1</v>
      </c>
      <c r="E11" t="s">
        <v>19</v>
      </c>
      <c r="F11" t="s">
        <v>266</v>
      </c>
      <c r="G11" t="s">
        <v>282</v>
      </c>
      <c r="H11" s="14">
        <v>45869</v>
      </c>
      <c r="I11" s="13">
        <v>46233</v>
      </c>
      <c r="J11" s="5">
        <f t="shared" ca="1" si="0"/>
        <v>21</v>
      </c>
      <c r="K11" t="s">
        <v>52</v>
      </c>
      <c r="L11" s="4">
        <v>387040</v>
      </c>
      <c r="N11" t="s">
        <v>253</v>
      </c>
      <c r="O11" s="2" t="s">
        <v>57</v>
      </c>
      <c r="P11" t="s">
        <v>287</v>
      </c>
    </row>
    <row r="12" spans="1:16">
      <c r="A12" t="s">
        <v>271</v>
      </c>
      <c r="B12" s="12" t="s">
        <v>279</v>
      </c>
      <c r="C12" s="15" t="s">
        <v>294</v>
      </c>
      <c r="D12">
        <v>1</v>
      </c>
      <c r="E12" t="s">
        <v>19</v>
      </c>
      <c r="F12" t="s">
        <v>266</v>
      </c>
      <c r="G12" t="s">
        <v>30</v>
      </c>
      <c r="H12" s="14">
        <v>45954</v>
      </c>
      <c r="I12" s="13">
        <v>46318</v>
      </c>
      <c r="J12" s="5">
        <f t="shared" ca="1" si="0"/>
        <v>106</v>
      </c>
      <c r="K12" t="s">
        <v>38</v>
      </c>
      <c r="L12" s="4">
        <v>272580</v>
      </c>
      <c r="N12" t="s">
        <v>259</v>
      </c>
      <c r="O12" t="s">
        <v>39</v>
      </c>
      <c r="P12" t="s">
        <v>288</v>
      </c>
    </row>
    <row r="13" spans="1:16" ht="13.2" customHeight="1">
      <c r="A13" t="s">
        <v>281</v>
      </c>
      <c r="B13" s="12" t="s">
        <v>280</v>
      </c>
      <c r="C13" s="15" t="s">
        <v>295</v>
      </c>
      <c r="D13">
        <v>1</v>
      </c>
      <c r="E13" t="s">
        <v>19</v>
      </c>
      <c r="F13" t="s">
        <v>266</v>
      </c>
      <c r="G13" t="s">
        <v>30</v>
      </c>
      <c r="H13" s="14">
        <v>45869</v>
      </c>
      <c r="I13" s="13">
        <v>46233</v>
      </c>
      <c r="J13" s="5">
        <f t="shared" ca="1" si="0"/>
        <v>21</v>
      </c>
      <c r="K13" t="s">
        <v>283</v>
      </c>
      <c r="L13" s="4">
        <v>1197700</v>
      </c>
      <c r="N13" t="s">
        <v>253</v>
      </c>
      <c r="O13" s="2" t="s">
        <v>57</v>
      </c>
      <c r="P13" t="s">
        <v>289</v>
      </c>
    </row>
  </sheetData>
  <phoneticPr fontId="8" type="noConversion"/>
  <conditionalFormatting sqref="J2:J13">
    <cfRule type="cellIs" dxfId="17" priority="1" operator="lessThanOrEqual">
      <formula>30</formula>
    </cfRule>
    <cfRule type="cellIs" dxfId="16" priority="2" operator="between">
      <formula>31</formula>
    </cfRule>
    <cfRule type="cellIs" dxfId="15" priority="3" operator="greaterThan">
      <formula>90</formula>
    </cfRule>
  </conditionalFormatting>
  <dataValidations count="2">
    <dataValidation type="list" sqref="N2:N13" xr:uid="{00000000-0002-0000-0000-000000000000}">
      <formula1>"OK,ALERTE,CRITIQUE,EXPIRÉ,À renouveler,En cours,Clôturé"</formula1>
    </dataValidation>
    <dataValidation type="list" sqref="K2:K13" xr:uid="{00000000-0002-0000-0000-000001000000}">
      <formula1>"Faible,Moyenne,Élevée,Critique"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selection activeCell="M7" sqref="M7"/>
    </sheetView>
  </sheetViews>
  <sheetFormatPr baseColWidth="10" defaultColWidth="9.0703125" defaultRowHeight="14.15"/>
  <cols>
    <col min="1" max="1" width="18" customWidth="1"/>
    <col min="2" max="4" width="22" customWidth="1"/>
    <col min="5" max="5" width="23.28515625" customWidth="1"/>
    <col min="6" max="6" width="22" customWidth="1"/>
    <col min="7" max="12" width="18" customWidth="1"/>
    <col min="13" max="13" width="22" customWidth="1"/>
  </cols>
  <sheetData>
    <row r="1" spans="1:13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8</v>
      </c>
      <c r="I1" s="1" t="s">
        <v>9</v>
      </c>
      <c r="J1" s="1" t="s">
        <v>5</v>
      </c>
      <c r="K1" s="1" t="s">
        <v>13</v>
      </c>
      <c r="L1" s="1" t="s">
        <v>14</v>
      </c>
      <c r="M1" s="1" t="s">
        <v>15</v>
      </c>
    </row>
    <row r="2" spans="1:13" ht="28.3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3">
        <v>46143</v>
      </c>
      <c r="H2" s="3">
        <v>46235</v>
      </c>
      <c r="I2" s="5">
        <f t="shared" ref="I2:I7" ca="1" si="0">H2-TODAY()</f>
        <v>23</v>
      </c>
      <c r="J2" s="2" t="s">
        <v>71</v>
      </c>
      <c r="K2" s="2" t="str">
        <f ca="1">IF(I2&lt;=0,"EXPIRÉ",IF(I2&lt;=30,"CRITIQUE",IF(I2&lt;=90,"ALERTE","OK")))</f>
        <v>CRITIQUE</v>
      </c>
      <c r="L2" s="2" t="s">
        <v>72</v>
      </c>
      <c r="M2" s="2" t="s">
        <v>73</v>
      </c>
    </row>
    <row r="3" spans="1:13">
      <c r="A3" s="2" t="s">
        <v>74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70</v>
      </c>
      <c r="G3" s="3">
        <v>46023</v>
      </c>
      <c r="H3" s="3">
        <v>46388</v>
      </c>
      <c r="I3" s="5">
        <f t="shared" ca="1" si="0"/>
        <v>176</v>
      </c>
      <c r="J3" s="2" t="s">
        <v>79</v>
      </c>
      <c r="K3" s="2" t="str">
        <f ca="1">IF(I3&lt;=0,"EXPIRÉ",IF(I3&lt;=30,"CRITIQUE",IF(I3&lt;=90,"ALERTE","OK")))</f>
        <v>OK</v>
      </c>
      <c r="L3" s="2" t="s">
        <v>39</v>
      </c>
      <c r="M3" s="2" t="s">
        <v>80</v>
      </c>
    </row>
    <row r="4" spans="1:13" ht="28.3">
      <c r="A4" s="2" t="s">
        <v>81</v>
      </c>
      <c r="B4" s="2" t="s">
        <v>82</v>
      </c>
      <c r="C4" s="2" t="s">
        <v>83</v>
      </c>
      <c r="D4" s="2" t="s">
        <v>84</v>
      </c>
      <c r="E4" s="2" t="s">
        <v>85</v>
      </c>
      <c r="F4" s="2" t="s">
        <v>70</v>
      </c>
      <c r="G4" s="3">
        <v>46096</v>
      </c>
      <c r="H4" s="3">
        <v>46218</v>
      </c>
      <c r="I4" s="5">
        <f t="shared" ca="1" si="0"/>
        <v>6</v>
      </c>
      <c r="J4" s="2" t="s">
        <v>20</v>
      </c>
      <c r="K4" s="2" t="str">
        <f ca="1">IF(I4&lt;=0,"EXPIRÉ",IF(I4&lt;=30,"CRITIQUE",IF(I4&lt;=90,"ALERTE","OK")))</f>
        <v>CRITIQUE</v>
      </c>
      <c r="L4" s="2" t="s">
        <v>86</v>
      </c>
      <c r="M4" s="2" t="s">
        <v>87</v>
      </c>
    </row>
    <row r="5" spans="1:13" ht="28.3">
      <c r="A5" s="2" t="s">
        <v>88</v>
      </c>
      <c r="B5" s="2" t="s">
        <v>89</v>
      </c>
      <c r="C5" s="2" t="s">
        <v>67</v>
      </c>
      <c r="D5" s="2" t="s">
        <v>77</v>
      </c>
      <c r="E5" s="2" t="s">
        <v>90</v>
      </c>
      <c r="F5" s="2" t="s">
        <v>70</v>
      </c>
      <c r="G5" s="3">
        <v>46174</v>
      </c>
      <c r="H5" s="3">
        <v>46539</v>
      </c>
      <c r="I5" s="5">
        <f t="shared" ca="1" si="0"/>
        <v>327</v>
      </c>
      <c r="J5" s="2" t="s">
        <v>91</v>
      </c>
      <c r="K5" s="2" t="str">
        <f ca="1">IF(I5&lt;=0,"EXPIRÉ",IF(I5&lt;=30,"CRITIQUE",IF(I5&lt;=90,"ALERTE","OK")))</f>
        <v>OK</v>
      </c>
      <c r="L5" s="2" t="s">
        <v>39</v>
      </c>
      <c r="M5" s="2" t="s">
        <v>92</v>
      </c>
    </row>
    <row r="6" spans="1:13" ht="28.3">
      <c r="A6" s="2" t="s">
        <v>93</v>
      </c>
      <c r="B6" s="2" t="s">
        <v>94</v>
      </c>
      <c r="C6" s="2" t="s">
        <v>95</v>
      </c>
      <c r="D6" s="2" t="s">
        <v>96</v>
      </c>
      <c r="E6" s="2" t="s">
        <v>97</v>
      </c>
      <c r="F6" s="2" t="s">
        <v>98</v>
      </c>
      <c r="G6" s="3">
        <v>45931</v>
      </c>
      <c r="H6" s="3">
        <v>46296</v>
      </c>
      <c r="I6" s="5">
        <f t="shared" ca="1" si="0"/>
        <v>84</v>
      </c>
      <c r="J6" s="2" t="s">
        <v>99</v>
      </c>
      <c r="K6" s="2" t="str">
        <f ca="1">IF(I6&lt;=0,"EXPIRÉ",IF(I6&lt;=30,"CRITIQUE",IF(I6&lt;=90,"ALERTE","OK")))</f>
        <v>ALERTE</v>
      </c>
      <c r="L6" s="2" t="s">
        <v>100</v>
      </c>
      <c r="M6" s="2" t="s">
        <v>95</v>
      </c>
    </row>
    <row r="7" spans="1:13">
      <c r="A7" t="s">
        <v>93</v>
      </c>
      <c r="B7" t="s">
        <v>263</v>
      </c>
      <c r="C7" t="s">
        <v>83</v>
      </c>
      <c r="D7" t="s">
        <v>84</v>
      </c>
      <c r="E7" t="s">
        <v>264</v>
      </c>
      <c r="F7" t="s">
        <v>265</v>
      </c>
      <c r="G7" s="11">
        <v>46121</v>
      </c>
      <c r="H7" s="11">
        <v>46487</v>
      </c>
      <c r="I7" s="5">
        <f t="shared" ca="1" si="0"/>
        <v>275</v>
      </c>
      <c r="J7" t="s">
        <v>266</v>
      </c>
      <c r="K7" t="s">
        <v>259</v>
      </c>
      <c r="L7" t="s">
        <v>39</v>
      </c>
      <c r="M7" s="2" t="s">
        <v>80</v>
      </c>
    </row>
  </sheetData>
  <conditionalFormatting sqref="I2:I7">
    <cfRule type="cellIs" dxfId="14" priority="1" operator="lessThanOrEqual">
      <formula>30</formula>
    </cfRule>
    <cfRule type="cellIs" dxfId="13" priority="2" operator="between">
      <formula>31</formula>
    </cfRule>
    <cfRule type="cellIs" dxfId="12" priority="3" operator="greaterThan">
      <formula>90</formula>
    </cfRule>
  </conditionalFormatting>
  <dataValidations count="1">
    <dataValidation type="list" sqref="K2:K7" xr:uid="{00000000-0002-0000-0100-000000000000}">
      <formula1>"OK,ALERTE,CRITIQUE,EXPIRÉ,À renouveler,En cours,Clôturé"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"/>
  <sheetViews>
    <sheetView workbookViewId="0">
      <selection activeCell="C8" sqref="C8"/>
    </sheetView>
  </sheetViews>
  <sheetFormatPr baseColWidth="10" defaultColWidth="9.0703125" defaultRowHeight="14.15"/>
  <cols>
    <col min="1" max="1" width="18" customWidth="1"/>
    <col min="2" max="4" width="22" customWidth="1"/>
    <col min="5" max="5" width="22" style="17" customWidth="1"/>
    <col min="6" max="7" width="22" customWidth="1"/>
    <col min="8" max="13" width="18" customWidth="1"/>
    <col min="14" max="15" width="22" customWidth="1"/>
    <col min="16" max="16" width="18" customWidth="1"/>
  </cols>
  <sheetData>
    <row r="1" spans="1:17">
      <c r="A1" s="1" t="s">
        <v>0</v>
      </c>
      <c r="B1" s="1" t="s">
        <v>101</v>
      </c>
      <c r="C1" s="1" t="s">
        <v>102</v>
      </c>
      <c r="D1" s="1" t="s">
        <v>103</v>
      </c>
      <c r="E1" s="1" t="s">
        <v>301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9</v>
      </c>
      <c r="L1" s="1" t="s">
        <v>10</v>
      </c>
      <c r="M1" s="1" t="s">
        <v>109</v>
      </c>
      <c r="N1" s="1" t="s">
        <v>110</v>
      </c>
      <c r="O1" s="1" t="s">
        <v>13</v>
      </c>
      <c r="P1" s="1" t="s">
        <v>14</v>
      </c>
    </row>
    <row r="2" spans="1:17">
      <c r="A2" s="2" t="s">
        <v>111</v>
      </c>
      <c r="B2" s="2" t="s">
        <v>112</v>
      </c>
      <c r="C2" s="2" t="s">
        <v>35</v>
      </c>
      <c r="D2" s="2" t="s">
        <v>113</v>
      </c>
      <c r="E2" s="2"/>
      <c r="F2" s="2" t="s">
        <v>114</v>
      </c>
      <c r="G2" s="2" t="s">
        <v>115</v>
      </c>
      <c r="H2" s="3">
        <v>45516</v>
      </c>
      <c r="I2" s="3">
        <v>46611</v>
      </c>
      <c r="J2" s="3">
        <v>46611</v>
      </c>
      <c r="K2" s="5">
        <f ca="1">J2-TODAY()</f>
        <v>399</v>
      </c>
      <c r="L2" s="2" t="s">
        <v>22</v>
      </c>
      <c r="M2" s="2" t="s">
        <v>116</v>
      </c>
      <c r="N2" s="4">
        <v>12000000</v>
      </c>
      <c r="O2" s="2" t="str">
        <f ca="1">IF(K2&lt;=0,"EXPIRÉ",IF(K2&lt;=30,"CRITIQUE",IF(K2&lt;=90,"ALERTE","OK")))</f>
        <v>OK</v>
      </c>
      <c r="P2" s="2" t="s">
        <v>39</v>
      </c>
    </row>
    <row r="3" spans="1:17">
      <c r="A3" s="2" t="s">
        <v>117</v>
      </c>
      <c r="B3" s="2" t="s">
        <v>118</v>
      </c>
      <c r="C3" s="2" t="s">
        <v>119</v>
      </c>
      <c r="D3" s="2" t="s">
        <v>120</v>
      </c>
      <c r="E3" s="2"/>
      <c r="F3" s="2" t="s">
        <v>114</v>
      </c>
      <c r="G3" s="2" t="s">
        <v>121</v>
      </c>
      <c r="H3" s="3">
        <v>45179</v>
      </c>
      <c r="I3" s="3">
        <v>46275</v>
      </c>
      <c r="J3" s="3">
        <v>46275</v>
      </c>
      <c r="K3" s="5">
        <f ca="1">J3-TODAY()</f>
        <v>63</v>
      </c>
      <c r="L3" s="2" t="s">
        <v>22</v>
      </c>
      <c r="M3" s="2" t="s">
        <v>122</v>
      </c>
      <c r="N3" s="4">
        <v>9500000</v>
      </c>
      <c r="O3" s="2" t="str">
        <f ca="1">IF(K3&lt;=0,"EXPIRÉ",IF(K3&lt;=30,"CRITIQUE",IF(K3&lt;=90,"ALERTE","OK")))</f>
        <v>ALERTE</v>
      </c>
      <c r="P3" s="2" t="s">
        <v>123</v>
      </c>
    </row>
    <row r="4" spans="1:17">
      <c r="A4" s="2" t="s">
        <v>124</v>
      </c>
      <c r="B4" s="2" t="s">
        <v>125</v>
      </c>
      <c r="C4" s="2" t="s">
        <v>126</v>
      </c>
      <c r="D4" s="2" t="s">
        <v>127</v>
      </c>
      <c r="E4" s="2"/>
      <c r="F4" s="2" t="s">
        <v>114</v>
      </c>
      <c r="G4" s="2" t="s">
        <v>128</v>
      </c>
      <c r="H4" s="3">
        <v>44713</v>
      </c>
      <c r="I4" s="3">
        <v>46203</v>
      </c>
      <c r="J4" s="3">
        <v>46203</v>
      </c>
      <c r="K4" s="5">
        <f ca="1">J4-TODAY()</f>
        <v>-9</v>
      </c>
      <c r="L4" s="2" t="s">
        <v>22</v>
      </c>
      <c r="M4" s="2" t="s">
        <v>129</v>
      </c>
      <c r="N4" s="4">
        <v>7500000</v>
      </c>
      <c r="O4" s="2" t="str">
        <f ca="1">IF(K4&lt;=0,"EXPIRÉ",IF(K4&lt;=30,"CRITIQUE",IF(K4&lt;=90,"ALERTE","OK")))</f>
        <v>EXPIRÉ</v>
      </c>
      <c r="P4" s="2" t="s">
        <v>130</v>
      </c>
    </row>
    <row r="5" spans="1:17">
      <c r="A5" s="2" t="s">
        <v>131</v>
      </c>
      <c r="B5" s="2" t="s">
        <v>132</v>
      </c>
      <c r="C5" s="2" t="s">
        <v>133</v>
      </c>
      <c r="D5" s="2" t="s">
        <v>134</v>
      </c>
      <c r="E5" s="2"/>
      <c r="F5" s="2" t="s">
        <v>114</v>
      </c>
      <c r="G5" s="2" t="s">
        <v>135</v>
      </c>
      <c r="H5" s="3">
        <v>44941</v>
      </c>
      <c r="I5" s="3">
        <v>46402</v>
      </c>
      <c r="J5" s="3">
        <v>46402</v>
      </c>
      <c r="K5" s="5">
        <f ca="1">J5-TODAY()</f>
        <v>190</v>
      </c>
      <c r="L5" s="2" t="s">
        <v>22</v>
      </c>
      <c r="M5" s="2" t="s">
        <v>136</v>
      </c>
      <c r="N5" s="4">
        <v>15000000</v>
      </c>
      <c r="O5" s="2" t="str">
        <f ca="1">IF(K5&lt;=0,"EXPIRÉ",IF(K5&lt;=30,"CRITIQUE",IF(K5&lt;=90,"ALERTE","OK")))</f>
        <v>OK</v>
      </c>
      <c r="P5" s="2" t="s">
        <v>39</v>
      </c>
    </row>
    <row r="6" spans="1:17">
      <c r="A6" s="2" t="s">
        <v>137</v>
      </c>
      <c r="B6" s="2" t="s">
        <v>138</v>
      </c>
      <c r="C6" s="2" t="s">
        <v>119</v>
      </c>
      <c r="D6" s="2" t="s">
        <v>139</v>
      </c>
      <c r="E6" s="2"/>
      <c r="F6" s="2" t="s">
        <v>140</v>
      </c>
      <c r="G6" s="2" t="s">
        <v>141</v>
      </c>
      <c r="H6" s="3">
        <v>44531</v>
      </c>
      <c r="I6" s="3">
        <v>46357</v>
      </c>
      <c r="J6" s="3">
        <v>46357</v>
      </c>
      <c r="K6" s="5">
        <f ca="1">J6-TODAY()</f>
        <v>145</v>
      </c>
      <c r="L6" s="2" t="s">
        <v>38</v>
      </c>
      <c r="M6" s="2" t="s">
        <v>122</v>
      </c>
      <c r="N6" s="4">
        <v>3000000</v>
      </c>
      <c r="O6" s="2" t="str">
        <f ca="1">IF(K6&lt;=0,"EXPIRÉ",IF(K6&lt;=30,"CRITIQUE",IF(K6&lt;=90,"ALERTE","OK")))</f>
        <v>OK</v>
      </c>
      <c r="P6" s="2" t="s">
        <v>142</v>
      </c>
    </row>
    <row r="7" spans="1:17" s="17" customFormat="1">
      <c r="A7" s="2" t="s">
        <v>302</v>
      </c>
      <c r="B7" s="2"/>
      <c r="C7" s="2"/>
      <c r="D7" s="2"/>
      <c r="E7" s="2" t="s">
        <v>296</v>
      </c>
      <c r="F7" s="2"/>
      <c r="G7" s="2"/>
      <c r="H7" s="3"/>
      <c r="I7" s="3"/>
      <c r="J7" s="3"/>
      <c r="K7" s="5"/>
      <c r="L7" s="2"/>
      <c r="M7" s="2"/>
      <c r="N7" s="4"/>
      <c r="O7" s="2"/>
      <c r="P7" s="2"/>
    </row>
    <row r="8" spans="1:17" s="17" customFormat="1">
      <c r="A8" s="2" t="s">
        <v>303</v>
      </c>
      <c r="B8" s="2"/>
      <c r="C8" s="2"/>
      <c r="D8" s="2"/>
      <c r="E8" s="2" t="s">
        <v>300</v>
      </c>
      <c r="F8" s="2"/>
      <c r="G8" s="2"/>
      <c r="H8" s="3"/>
      <c r="I8" s="3"/>
      <c r="J8" s="3"/>
      <c r="K8" s="5"/>
      <c r="L8" s="2"/>
      <c r="M8" s="2"/>
      <c r="N8" s="4"/>
      <c r="O8" s="2"/>
      <c r="P8" s="2"/>
    </row>
    <row r="9" spans="1:17" s="17" customFormat="1">
      <c r="A9" s="2"/>
      <c r="B9" s="2"/>
      <c r="C9" s="2"/>
      <c r="D9" s="2"/>
      <c r="E9" s="2" t="s">
        <v>300</v>
      </c>
      <c r="F9" s="2"/>
      <c r="G9" s="2"/>
      <c r="H9" s="3"/>
      <c r="I9" s="3"/>
      <c r="J9" s="3"/>
      <c r="K9" s="5"/>
      <c r="L9" s="2"/>
      <c r="M9" s="2"/>
      <c r="N9" s="4"/>
      <c r="O9" s="2"/>
      <c r="P9" s="2"/>
    </row>
    <row r="10" spans="1:17" s="17" customFormat="1">
      <c r="A10" s="2"/>
      <c r="B10" s="2"/>
      <c r="C10" s="2"/>
      <c r="D10" s="2"/>
      <c r="E10" s="2"/>
      <c r="F10" s="2"/>
      <c r="G10" s="2"/>
      <c r="H10" s="3"/>
      <c r="I10" s="3"/>
      <c r="J10" s="3"/>
      <c r="K10" s="5"/>
      <c r="L10" s="2"/>
      <c r="M10" s="2"/>
      <c r="N10" s="4"/>
      <c r="O10" s="2"/>
      <c r="P10" s="2"/>
    </row>
    <row r="11" spans="1:17" s="17" customFormat="1">
      <c r="A11" s="2"/>
      <c r="B11" s="2"/>
      <c r="C11" s="2"/>
      <c r="D11" s="2"/>
      <c r="E11" s="2"/>
      <c r="F11" s="2"/>
      <c r="G11" s="2"/>
      <c r="H11" s="3"/>
      <c r="I11" s="3"/>
      <c r="J11" s="3"/>
      <c r="K11" s="5"/>
      <c r="L11" s="2"/>
      <c r="M11" s="2"/>
      <c r="N11" s="4"/>
      <c r="O11" s="2"/>
      <c r="P11" s="2"/>
    </row>
    <row r="12" spans="1:17" s="17" customFormat="1">
      <c r="A12" s="2"/>
      <c r="B12" s="2"/>
      <c r="C12" s="2"/>
      <c r="D12" s="2"/>
      <c r="E12" s="2"/>
      <c r="F12" s="2"/>
      <c r="G12" s="2"/>
      <c r="H12" s="3"/>
      <c r="I12" s="3"/>
      <c r="J12" s="3"/>
      <c r="K12" s="5"/>
      <c r="L12" s="2"/>
      <c r="M12" s="2"/>
      <c r="N12" s="4"/>
      <c r="O12" s="2"/>
      <c r="P12" s="2"/>
    </row>
    <row r="13" spans="1:17" s="17" customFormat="1">
      <c r="A13" s="2"/>
      <c r="B13" s="2"/>
      <c r="C13" s="2"/>
      <c r="D13" s="2"/>
      <c r="E13" s="2"/>
      <c r="F13" s="2"/>
      <c r="G13" s="2"/>
      <c r="H13" s="3"/>
      <c r="I13" s="3"/>
      <c r="J13" s="3"/>
      <c r="K13" s="5"/>
      <c r="L13" s="2"/>
      <c r="M13" s="2"/>
      <c r="N13" s="4"/>
      <c r="O13" s="2"/>
      <c r="P13" s="2"/>
    </row>
    <row r="14" spans="1:17">
      <c r="C14" s="17" t="s">
        <v>119</v>
      </c>
      <c r="D14" s="17">
        <v>2</v>
      </c>
      <c r="F14" s="18" t="s">
        <v>19</v>
      </c>
      <c r="G14" s="17" t="s">
        <v>297</v>
      </c>
      <c r="H14" s="17" t="s">
        <v>298</v>
      </c>
      <c r="I14" s="19">
        <v>45986</v>
      </c>
      <c r="J14" s="19">
        <v>46350</v>
      </c>
      <c r="K14" s="17">
        <v>145</v>
      </c>
      <c r="L14" s="17" t="s">
        <v>38</v>
      </c>
      <c r="M14" s="17" t="s">
        <v>299</v>
      </c>
      <c r="N14" s="17"/>
      <c r="O14" s="17"/>
      <c r="P14" s="17" t="s">
        <v>39</v>
      </c>
      <c r="Q14" s="17"/>
    </row>
    <row r="15" spans="1:17">
      <c r="C15" s="17"/>
      <c r="D15" s="17">
        <v>100</v>
      </c>
      <c r="F15" s="18" t="s">
        <v>19</v>
      </c>
      <c r="G15" s="17"/>
      <c r="H15" s="17"/>
      <c r="I15" s="19">
        <v>45622</v>
      </c>
      <c r="J15" s="19">
        <v>46716</v>
      </c>
      <c r="K15" s="17">
        <v>511</v>
      </c>
      <c r="L15" s="17" t="s">
        <v>52</v>
      </c>
      <c r="M15" s="17"/>
      <c r="N15" s="17"/>
      <c r="O15" s="17"/>
      <c r="P15" s="17" t="s">
        <v>39</v>
      </c>
      <c r="Q15" s="17"/>
    </row>
    <row r="16" spans="1:17">
      <c r="C16" s="17"/>
      <c r="D16" s="17">
        <v>200</v>
      </c>
      <c r="F16" s="18" t="s">
        <v>19</v>
      </c>
      <c r="G16" s="17"/>
      <c r="H16" s="17"/>
      <c r="I16" s="19">
        <v>46027</v>
      </c>
      <c r="J16" s="19">
        <v>46391</v>
      </c>
      <c r="K16" s="17">
        <v>186</v>
      </c>
      <c r="L16" s="17" t="s">
        <v>52</v>
      </c>
      <c r="M16" s="17"/>
      <c r="N16" s="17"/>
      <c r="O16" s="17"/>
      <c r="P16" s="17" t="s">
        <v>39</v>
      </c>
      <c r="Q16" s="17"/>
    </row>
  </sheetData>
  <phoneticPr fontId="8" type="noConversion"/>
  <conditionalFormatting sqref="K2:K13">
    <cfRule type="cellIs" dxfId="11" priority="1" operator="lessThanOrEqual">
      <formula>30</formula>
    </cfRule>
    <cfRule type="cellIs" dxfId="10" priority="2" operator="between">
      <formula>31</formula>
    </cfRule>
    <cfRule type="cellIs" dxfId="9" priority="3" operator="greaterThan">
      <formula>90</formula>
    </cfRule>
  </conditionalFormatting>
  <dataValidations count="2">
    <dataValidation type="list" sqref="O2:O13" xr:uid="{00000000-0002-0000-0200-000000000000}">
      <formula1>"OK,ALERTE,CRITIQUE,EXPIRÉ,À renouveler,En cours,Clôturé"</formula1>
    </dataValidation>
    <dataValidation type="list" sqref="L2:L13" xr:uid="{00000000-0002-0000-0200-000001000000}">
      <formula1>"Faible,Moyenne,Élevée,Critique"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workbookViewId="0"/>
  </sheetViews>
  <sheetFormatPr baseColWidth="10" defaultColWidth="9.0703125" defaultRowHeight="14.15"/>
  <cols>
    <col min="1" max="1" width="18" customWidth="1"/>
    <col min="2" max="6" width="22" customWidth="1"/>
    <col min="7" max="12" width="18" customWidth="1"/>
    <col min="13" max="14" width="22" customWidth="1"/>
    <col min="15" max="15" width="18" customWidth="1"/>
  </cols>
  <sheetData>
    <row r="1" spans="1:15" ht="28.3">
      <c r="A1" s="1" t="s">
        <v>0</v>
      </c>
      <c r="B1" s="1" t="s">
        <v>143</v>
      </c>
      <c r="C1" s="1" t="s">
        <v>144</v>
      </c>
      <c r="D1" s="1" t="s">
        <v>63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9</v>
      </c>
      <c r="K1" s="1" t="s">
        <v>10</v>
      </c>
      <c r="L1" s="1" t="s">
        <v>150</v>
      </c>
      <c r="M1" s="1" t="s">
        <v>11</v>
      </c>
      <c r="N1" s="1" t="s">
        <v>13</v>
      </c>
      <c r="O1" s="1" t="s">
        <v>14</v>
      </c>
    </row>
    <row r="2" spans="1:15" ht="28.3">
      <c r="A2" s="2" t="s">
        <v>151</v>
      </c>
      <c r="B2" s="2" t="s">
        <v>152</v>
      </c>
      <c r="C2" s="2" t="s">
        <v>153</v>
      </c>
      <c r="D2" s="2" t="s">
        <v>70</v>
      </c>
      <c r="E2" s="2" t="s">
        <v>154</v>
      </c>
      <c r="F2" s="2" t="s">
        <v>155</v>
      </c>
      <c r="G2" s="2" t="s">
        <v>156</v>
      </c>
      <c r="H2" s="3">
        <v>46023</v>
      </c>
      <c r="I2" s="3">
        <v>46387</v>
      </c>
      <c r="J2" s="5">
        <f ca="1">I2-TODAY()</f>
        <v>175</v>
      </c>
      <c r="K2" s="2" t="s">
        <v>22</v>
      </c>
      <c r="L2" s="2" t="s">
        <v>157</v>
      </c>
      <c r="M2" s="4">
        <v>30000000</v>
      </c>
      <c r="N2" s="2" t="str">
        <f ca="1">IF(J2&lt;=0,"EXPIRÉ",IF(J2&lt;=30,"CRITIQUE",IF(J2&lt;=90,"ALERTE","OK")))</f>
        <v>OK</v>
      </c>
      <c r="O2" s="2" t="s">
        <v>158</v>
      </c>
    </row>
    <row r="3" spans="1:15">
      <c r="A3" s="2" t="s">
        <v>159</v>
      </c>
      <c r="B3" s="2" t="s">
        <v>160</v>
      </c>
      <c r="C3" s="2" t="s">
        <v>161</v>
      </c>
      <c r="D3" s="2" t="s">
        <v>70</v>
      </c>
      <c r="E3" s="2" t="s">
        <v>162</v>
      </c>
      <c r="F3" s="2" t="s">
        <v>163</v>
      </c>
      <c r="G3" s="2" t="s">
        <v>49</v>
      </c>
      <c r="H3" s="3">
        <v>46082</v>
      </c>
      <c r="I3" s="3">
        <v>46447</v>
      </c>
      <c r="J3" s="5">
        <f ca="1">I3-TODAY()</f>
        <v>235</v>
      </c>
      <c r="K3" s="2" t="s">
        <v>38</v>
      </c>
      <c r="L3" s="2" t="s">
        <v>164</v>
      </c>
      <c r="M3" s="4">
        <v>8000000</v>
      </c>
      <c r="N3" s="2" t="str">
        <f ca="1">IF(J3&lt;=0,"EXPIRÉ",IF(J3&lt;=30,"CRITIQUE",IF(J3&lt;=90,"ALERTE","OK")))</f>
        <v>OK</v>
      </c>
      <c r="O3" s="2" t="s">
        <v>39</v>
      </c>
    </row>
    <row r="4" spans="1:15" ht="28.3">
      <c r="A4" s="2" t="s">
        <v>165</v>
      </c>
      <c r="B4" s="2" t="s">
        <v>166</v>
      </c>
      <c r="C4" s="2" t="s">
        <v>167</v>
      </c>
      <c r="D4" s="2" t="s">
        <v>70</v>
      </c>
      <c r="E4" s="2" t="s">
        <v>154</v>
      </c>
      <c r="F4" s="2" t="s">
        <v>168</v>
      </c>
      <c r="G4" s="2" t="s">
        <v>169</v>
      </c>
      <c r="H4" s="3">
        <v>45931</v>
      </c>
      <c r="I4" s="3">
        <v>46296</v>
      </c>
      <c r="J4" s="5">
        <f ca="1">I4-TODAY()</f>
        <v>84</v>
      </c>
      <c r="K4" s="2" t="s">
        <v>52</v>
      </c>
      <c r="L4" s="2" t="s">
        <v>164</v>
      </c>
      <c r="M4" s="4">
        <v>5000000</v>
      </c>
      <c r="N4" s="2" t="str">
        <f ca="1">IF(J4&lt;=0,"EXPIRÉ",IF(J4&lt;=30,"CRITIQUE",IF(J4&lt;=90,"ALERTE","OK")))</f>
        <v>ALERTE</v>
      </c>
      <c r="O4" s="2" t="s">
        <v>100</v>
      </c>
    </row>
    <row r="5" spans="1:15" ht="28.3">
      <c r="A5" s="2" t="s">
        <v>170</v>
      </c>
      <c r="B5" s="2" t="s">
        <v>171</v>
      </c>
      <c r="C5" s="2" t="s">
        <v>172</v>
      </c>
      <c r="D5" s="2" t="s">
        <v>70</v>
      </c>
      <c r="E5" s="2" t="s">
        <v>173</v>
      </c>
      <c r="F5" s="2" t="s">
        <v>174</v>
      </c>
      <c r="G5" s="2" t="s">
        <v>175</v>
      </c>
      <c r="H5" s="3">
        <v>46174</v>
      </c>
      <c r="I5" s="3">
        <v>46539</v>
      </c>
      <c r="J5" s="5">
        <f ca="1">I5-TODAY()</f>
        <v>327</v>
      </c>
      <c r="K5" s="2" t="s">
        <v>22</v>
      </c>
      <c r="L5" s="2" t="s">
        <v>176</v>
      </c>
      <c r="M5" s="4">
        <v>18000000</v>
      </c>
      <c r="N5" s="2" t="str">
        <f ca="1">IF(J5&lt;=0,"EXPIRÉ",IF(J5&lt;=30,"CRITIQUE",IF(J5&lt;=90,"ALERTE","OK")))</f>
        <v>OK</v>
      </c>
      <c r="O5" s="2" t="s">
        <v>39</v>
      </c>
    </row>
    <row r="6" spans="1:15" ht="28.3">
      <c r="A6" s="2" t="s">
        <v>177</v>
      </c>
      <c r="B6" s="2" t="s">
        <v>178</v>
      </c>
      <c r="C6" s="2" t="s">
        <v>30</v>
      </c>
      <c r="D6" s="2" t="s">
        <v>70</v>
      </c>
      <c r="E6" s="2" t="s">
        <v>154</v>
      </c>
      <c r="F6" s="2" t="s">
        <v>98</v>
      </c>
      <c r="G6" s="2" t="s">
        <v>179</v>
      </c>
      <c r="H6" s="3">
        <v>46023</v>
      </c>
      <c r="I6" s="3">
        <v>46266</v>
      </c>
      <c r="J6" s="5">
        <f ca="1">I6-TODAY()</f>
        <v>54</v>
      </c>
      <c r="K6" s="2" t="s">
        <v>38</v>
      </c>
      <c r="L6" s="2" t="s">
        <v>180</v>
      </c>
      <c r="M6" s="4">
        <v>2000000</v>
      </c>
      <c r="N6" s="2" t="str">
        <f ca="1">IF(J6&lt;=0,"EXPIRÉ",IF(J6&lt;=30,"CRITIQUE",IF(J6&lt;=90,"ALERTE","OK")))</f>
        <v>ALERTE</v>
      </c>
      <c r="O6" s="2" t="s">
        <v>181</v>
      </c>
    </row>
  </sheetData>
  <conditionalFormatting sqref="J2:J6">
    <cfRule type="cellIs" dxfId="8" priority="1" operator="lessThanOrEqual">
      <formula>30</formula>
    </cfRule>
    <cfRule type="cellIs" dxfId="7" priority="2" operator="between">
      <formula>31</formula>
    </cfRule>
    <cfRule type="cellIs" dxfId="6" priority="3" operator="greaterThan">
      <formula>90</formula>
    </cfRule>
  </conditionalFormatting>
  <dataValidations count="2">
    <dataValidation type="list" sqref="N2:N6" xr:uid="{00000000-0002-0000-0300-000000000000}">
      <formula1>"OK,ALERTE,CRITIQUE,EXPIRÉ,À renouveler,En cours,Clôturé"</formula1>
    </dataValidation>
    <dataValidation type="list" sqref="K2:K6" xr:uid="{00000000-0002-0000-0300-000001000000}">
      <formula1>"Faible,Moyenne,Élevée,Critique"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>
      <selection activeCell="J2" sqref="J2:M6"/>
    </sheetView>
  </sheetViews>
  <sheetFormatPr baseColWidth="10" defaultColWidth="9.0703125" defaultRowHeight="14.15"/>
  <cols>
    <col min="1" max="1" width="18" customWidth="1"/>
    <col min="2" max="6" width="22" customWidth="1"/>
    <col min="7" max="12" width="18" customWidth="1"/>
    <col min="13" max="13" width="22" customWidth="1"/>
  </cols>
  <sheetData>
    <row r="1" spans="1:13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7</v>
      </c>
      <c r="H1" s="1" t="s">
        <v>187</v>
      </c>
      <c r="I1" s="1" t="s">
        <v>9</v>
      </c>
      <c r="J1" s="1" t="s">
        <v>188</v>
      </c>
      <c r="K1" s="1" t="s">
        <v>13</v>
      </c>
      <c r="L1" s="1" t="s">
        <v>189</v>
      </c>
      <c r="M1" s="1" t="s">
        <v>14</v>
      </c>
    </row>
    <row r="2" spans="1:13">
      <c r="A2" s="2" t="s">
        <v>190</v>
      </c>
      <c r="B2" s="2"/>
      <c r="C2" s="2"/>
      <c r="D2" s="2"/>
      <c r="E2" s="2"/>
      <c r="F2" s="2"/>
      <c r="G2" s="3"/>
      <c r="H2" s="3"/>
      <c r="I2" s="5">
        <f t="shared" ref="I2:I7" ca="1" si="0">H2-TODAY()</f>
        <v>-46212</v>
      </c>
      <c r="J2" s="4"/>
      <c r="K2" s="2"/>
      <c r="L2" s="2"/>
      <c r="M2" s="2"/>
    </row>
    <row r="3" spans="1:13">
      <c r="A3" s="2" t="s">
        <v>192</v>
      </c>
      <c r="B3" s="2"/>
      <c r="C3" s="2"/>
      <c r="D3" s="2"/>
      <c r="E3" s="2"/>
      <c r="F3" s="2"/>
      <c r="G3" s="3"/>
      <c r="H3" s="3"/>
      <c r="I3" s="5">
        <f t="shared" ca="1" si="0"/>
        <v>-46212</v>
      </c>
      <c r="J3" s="4"/>
      <c r="K3" s="2"/>
      <c r="L3" s="2"/>
      <c r="M3" s="2"/>
    </row>
    <row r="4" spans="1:13">
      <c r="A4" s="2" t="s">
        <v>194</v>
      </c>
      <c r="B4" s="2"/>
      <c r="C4" s="2"/>
      <c r="D4" s="2"/>
      <c r="E4" s="2"/>
      <c r="F4" s="2"/>
      <c r="G4" s="3"/>
      <c r="H4" s="3"/>
      <c r="I4" s="5">
        <f t="shared" ca="1" si="0"/>
        <v>-46212</v>
      </c>
      <c r="J4" s="4"/>
      <c r="K4" s="2"/>
      <c r="L4" s="2"/>
      <c r="M4" s="2"/>
    </row>
    <row r="5" spans="1:13">
      <c r="A5" s="2" t="s">
        <v>195</v>
      </c>
      <c r="B5" s="2"/>
      <c r="C5" s="2"/>
      <c r="D5" s="2"/>
      <c r="E5" s="2"/>
      <c r="F5" s="2"/>
      <c r="G5" s="3"/>
      <c r="H5" s="3"/>
      <c r="I5" s="5">
        <f t="shared" ca="1" si="0"/>
        <v>-46212</v>
      </c>
      <c r="J5" s="4"/>
      <c r="K5" s="2"/>
      <c r="L5" s="2"/>
      <c r="M5" s="2"/>
    </row>
    <row r="6" spans="1:13">
      <c r="A6" s="2" t="s">
        <v>197</v>
      </c>
      <c r="B6" s="2"/>
      <c r="C6" s="2"/>
      <c r="D6" s="2"/>
      <c r="E6" s="2"/>
      <c r="F6" s="2"/>
      <c r="G6" s="3"/>
      <c r="H6" s="3"/>
      <c r="I6" s="5">
        <f t="shared" ca="1" si="0"/>
        <v>-46212</v>
      </c>
      <c r="J6" s="4"/>
      <c r="K6" s="2"/>
      <c r="L6" s="2"/>
      <c r="M6" s="2"/>
    </row>
    <row r="7" spans="1:13">
      <c r="A7" t="s">
        <v>274</v>
      </c>
      <c r="B7" t="s">
        <v>272</v>
      </c>
      <c r="C7" t="s">
        <v>198</v>
      </c>
      <c r="E7" t="s">
        <v>273</v>
      </c>
      <c r="F7" t="s">
        <v>266</v>
      </c>
      <c r="G7" s="11">
        <v>45986</v>
      </c>
      <c r="H7" s="11">
        <v>46716</v>
      </c>
      <c r="I7" s="5">
        <f t="shared" ca="1" si="0"/>
        <v>504</v>
      </c>
      <c r="J7" s="4">
        <v>3648560</v>
      </c>
      <c r="K7" t="s">
        <v>259</v>
      </c>
    </row>
  </sheetData>
  <phoneticPr fontId="8" type="noConversion"/>
  <conditionalFormatting sqref="I2:I7">
    <cfRule type="cellIs" dxfId="5" priority="1" operator="lessThanOrEqual">
      <formula>30</formula>
    </cfRule>
    <cfRule type="cellIs" dxfId="4" priority="2" operator="between">
      <formula>31</formula>
    </cfRule>
    <cfRule type="cellIs" dxfId="3" priority="3" operator="greaterThan">
      <formula>90</formula>
    </cfRule>
  </conditionalFormatting>
  <dataValidations count="1">
    <dataValidation type="list" sqref="K2:K7" xr:uid="{00000000-0002-0000-0400-000000000000}">
      <formula1>"OK,ALERTE,CRITIQUE,EXPIRÉ,À renouveler,En cours,Clôturé"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0703125" defaultRowHeight="14.15"/>
  <cols>
    <col min="1" max="1" width="18" customWidth="1"/>
    <col min="2" max="6" width="22" customWidth="1"/>
    <col min="7" max="12" width="18" customWidth="1"/>
    <col min="13" max="13" width="22" customWidth="1"/>
  </cols>
  <sheetData>
    <row r="1" spans="1:13">
      <c r="A1" s="1" t="s">
        <v>0</v>
      </c>
      <c r="B1" s="1" t="s">
        <v>199</v>
      </c>
      <c r="C1" s="1" t="s">
        <v>200</v>
      </c>
      <c r="D1" s="1" t="s">
        <v>5</v>
      </c>
      <c r="E1" s="1" t="s">
        <v>8</v>
      </c>
      <c r="F1" s="1" t="s">
        <v>9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14</v>
      </c>
      <c r="M1" s="1" t="s">
        <v>206</v>
      </c>
    </row>
    <row r="2" spans="1:13" ht="28.3">
      <c r="A2" s="2" t="s">
        <v>207</v>
      </c>
      <c r="B2" s="2" t="s">
        <v>26</v>
      </c>
      <c r="C2" s="2" t="s">
        <v>208</v>
      </c>
      <c r="D2" s="2" t="s">
        <v>29</v>
      </c>
      <c r="E2" s="3">
        <v>46235</v>
      </c>
      <c r="F2" s="5">
        <f t="shared" ref="F2:F7" ca="1" si="0">E2-TODAY()</f>
        <v>23</v>
      </c>
      <c r="G2" s="3">
        <f t="shared" ref="G2:G7" si="1">E2-90</f>
        <v>46145</v>
      </c>
      <c r="H2" s="3">
        <f t="shared" ref="H2:H7" si="2">E2-60</f>
        <v>46175</v>
      </c>
      <c r="I2" s="3">
        <f t="shared" ref="I2:I7" si="3">E2-30</f>
        <v>46205</v>
      </c>
      <c r="J2" s="2" t="s">
        <v>22</v>
      </c>
      <c r="K2" s="4">
        <v>20000000</v>
      </c>
      <c r="L2" s="2" t="s">
        <v>209</v>
      </c>
      <c r="M2" s="2" t="s">
        <v>210</v>
      </c>
    </row>
    <row r="3" spans="1:13">
      <c r="A3" s="2" t="s">
        <v>211</v>
      </c>
      <c r="B3" s="2" t="s">
        <v>82</v>
      </c>
      <c r="C3" s="2" t="s">
        <v>212</v>
      </c>
      <c r="D3" s="2" t="s">
        <v>20</v>
      </c>
      <c r="E3" s="3">
        <v>46218</v>
      </c>
      <c r="F3" s="5">
        <f t="shared" ca="1" si="0"/>
        <v>6</v>
      </c>
      <c r="G3" s="3">
        <f t="shared" si="1"/>
        <v>46128</v>
      </c>
      <c r="H3" s="3">
        <f t="shared" si="2"/>
        <v>46158</v>
      </c>
      <c r="I3" s="3">
        <f t="shared" si="3"/>
        <v>46188</v>
      </c>
      <c r="J3" s="2" t="s">
        <v>22</v>
      </c>
      <c r="K3" s="4">
        <v>500000</v>
      </c>
      <c r="L3" s="2" t="s">
        <v>213</v>
      </c>
      <c r="M3" s="2" t="s">
        <v>214</v>
      </c>
    </row>
    <row r="4" spans="1:13" ht="28.3">
      <c r="A4" s="2" t="s">
        <v>215</v>
      </c>
      <c r="B4" s="2" t="s">
        <v>216</v>
      </c>
      <c r="C4" s="2" t="s">
        <v>217</v>
      </c>
      <c r="D4" s="2" t="s">
        <v>191</v>
      </c>
      <c r="E4" s="3">
        <v>46275</v>
      </c>
      <c r="F4" s="5">
        <f t="shared" ca="1" si="0"/>
        <v>63</v>
      </c>
      <c r="G4" s="3">
        <f t="shared" si="1"/>
        <v>46185</v>
      </c>
      <c r="H4" s="3">
        <f t="shared" si="2"/>
        <v>46215</v>
      </c>
      <c r="I4" s="3">
        <f t="shared" si="3"/>
        <v>46245</v>
      </c>
      <c r="J4" s="2" t="s">
        <v>22</v>
      </c>
      <c r="K4" s="4">
        <v>9500000</v>
      </c>
      <c r="L4" s="2" t="s">
        <v>218</v>
      </c>
      <c r="M4" s="2" t="s">
        <v>210</v>
      </c>
    </row>
    <row r="5" spans="1:13" ht="28.3">
      <c r="A5" s="2" t="s">
        <v>219</v>
      </c>
      <c r="B5" s="2" t="s">
        <v>220</v>
      </c>
      <c r="C5" s="2" t="s">
        <v>221</v>
      </c>
      <c r="D5" s="2" t="s">
        <v>193</v>
      </c>
      <c r="E5" s="3">
        <v>46266</v>
      </c>
      <c r="F5" s="5">
        <f t="shared" ca="1" si="0"/>
        <v>54</v>
      </c>
      <c r="G5" s="3">
        <f t="shared" si="1"/>
        <v>46176</v>
      </c>
      <c r="H5" s="3">
        <f t="shared" si="2"/>
        <v>46206</v>
      </c>
      <c r="I5" s="3">
        <f t="shared" si="3"/>
        <v>46236</v>
      </c>
      <c r="J5" s="2" t="s">
        <v>22</v>
      </c>
      <c r="K5" s="4">
        <v>36000000</v>
      </c>
      <c r="L5" s="2" t="s">
        <v>222</v>
      </c>
      <c r="M5" s="2" t="s">
        <v>210</v>
      </c>
    </row>
    <row r="6" spans="1:13">
      <c r="A6" s="2" t="s">
        <v>223</v>
      </c>
      <c r="B6" s="2" t="s">
        <v>152</v>
      </c>
      <c r="C6" s="2" t="s">
        <v>224</v>
      </c>
      <c r="D6" s="2" t="s">
        <v>196</v>
      </c>
      <c r="E6" s="3">
        <v>46387</v>
      </c>
      <c r="F6" s="5">
        <f t="shared" ca="1" si="0"/>
        <v>175</v>
      </c>
      <c r="G6" s="3">
        <f t="shared" si="1"/>
        <v>46297</v>
      </c>
      <c r="H6" s="3">
        <f t="shared" si="2"/>
        <v>46327</v>
      </c>
      <c r="I6" s="3">
        <f t="shared" si="3"/>
        <v>46357</v>
      </c>
      <c r="J6" s="2" t="s">
        <v>22</v>
      </c>
      <c r="K6" s="4">
        <v>30000000</v>
      </c>
      <c r="L6" s="2" t="s">
        <v>225</v>
      </c>
      <c r="M6" s="2" t="s">
        <v>226</v>
      </c>
    </row>
    <row r="7" spans="1:13" ht="28.3">
      <c r="A7" s="2" t="s">
        <v>227</v>
      </c>
      <c r="B7" s="2" t="s">
        <v>55</v>
      </c>
      <c r="C7" s="2" t="s">
        <v>208</v>
      </c>
      <c r="D7" s="2" t="s">
        <v>36</v>
      </c>
      <c r="E7" s="3">
        <v>46327</v>
      </c>
      <c r="F7" s="5">
        <f t="shared" ca="1" si="0"/>
        <v>115</v>
      </c>
      <c r="G7" s="3">
        <f t="shared" si="1"/>
        <v>46237</v>
      </c>
      <c r="H7" s="3">
        <f t="shared" si="2"/>
        <v>46267</v>
      </c>
      <c r="I7" s="3">
        <f t="shared" si="3"/>
        <v>46297</v>
      </c>
      <c r="J7" s="2" t="s">
        <v>22</v>
      </c>
      <c r="K7" s="4">
        <v>26000000</v>
      </c>
      <c r="L7" s="2" t="s">
        <v>57</v>
      </c>
      <c r="M7" s="2" t="s">
        <v>226</v>
      </c>
    </row>
  </sheetData>
  <conditionalFormatting sqref="F2:F7">
    <cfRule type="cellIs" dxfId="2" priority="1" operator="lessThanOrEqual">
      <formula>30</formula>
    </cfRule>
    <cfRule type="cellIs" dxfId="1" priority="2" operator="between">
      <formula>31</formula>
    </cfRule>
    <cfRule type="cellIs" dxfId="0" priority="3" operator="greaterThan">
      <formula>90</formula>
    </cfRule>
  </conditionalFormatting>
  <dataValidations count="2">
    <dataValidation type="list" sqref="M2:M7" xr:uid="{00000000-0002-0000-0500-000000000000}">
      <formula1>"OK,ALERTE,CRITIQUE,EXPIRÉ,À renouveler,En cours,Clôturé"</formula1>
    </dataValidation>
    <dataValidation type="list" sqref="J2:J7" xr:uid="{00000000-0002-0000-0500-000001000000}">
      <formula1>"Faible,Moyenne,Élevée,Critique"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>
      <selection activeCell="C23" sqref="C23"/>
    </sheetView>
  </sheetViews>
  <sheetFormatPr baseColWidth="10" defaultColWidth="9.0703125" defaultRowHeight="14.15"/>
  <cols>
    <col min="1" max="1" width="68.7109375" customWidth="1"/>
    <col min="2" max="2" width="13.2109375" customWidth="1"/>
    <col min="3" max="3" width="25.42578125" customWidth="1"/>
    <col min="4" max="4" width="14.2109375" customWidth="1"/>
    <col min="5" max="5" width="21.7109375" customWidth="1"/>
  </cols>
  <sheetData>
    <row r="1" spans="1:8" ht="17.600000000000001">
      <c r="A1" s="16" t="s">
        <v>228</v>
      </c>
      <c r="B1" s="16"/>
      <c r="C1" s="16"/>
      <c r="D1" s="16"/>
      <c r="E1" s="16"/>
      <c r="F1" s="16"/>
      <c r="G1" s="16"/>
      <c r="H1" s="16"/>
    </row>
    <row r="3" spans="1:8">
      <c r="A3" s="1" t="s">
        <v>229</v>
      </c>
      <c r="B3" s="1" t="s">
        <v>230</v>
      </c>
      <c r="C3" s="1" t="s">
        <v>231</v>
      </c>
    </row>
    <row r="4" spans="1:8">
      <c r="A4" s="2" t="s">
        <v>232</v>
      </c>
      <c r="B4" s="6">
        <f>COUNTA(Licences_Logicielles!A2:A101)</f>
        <v>12</v>
      </c>
      <c r="C4" s="2" t="s">
        <v>233</v>
      </c>
    </row>
    <row r="5" spans="1:8" ht="28.3">
      <c r="A5" s="2" t="s">
        <v>234</v>
      </c>
      <c r="B5" s="6">
        <f>COUNTA(Certificats!A2:A100)</f>
        <v>6</v>
      </c>
      <c r="C5" s="2" t="s">
        <v>235</v>
      </c>
    </row>
    <row r="6" spans="1:8" ht="28.3">
      <c r="A6" s="2" t="s">
        <v>236</v>
      </c>
      <c r="B6" s="6">
        <f>COUNTA(Materiels!A2:A107)</f>
        <v>7</v>
      </c>
      <c r="C6" s="2" t="s">
        <v>237</v>
      </c>
    </row>
    <row r="7" spans="1:8" ht="28.3">
      <c r="A7" s="2" t="s">
        <v>238</v>
      </c>
      <c r="B7" s="6">
        <f>COUNTA(Applications!A2:A100)</f>
        <v>5</v>
      </c>
      <c r="C7" s="2" t="s">
        <v>239</v>
      </c>
    </row>
    <row r="8" spans="1:8">
      <c r="A8" s="2" t="s">
        <v>240</v>
      </c>
      <c r="B8" s="6">
        <f>COUNTA(Contrats_Fournisseurs!A2:A100)</f>
        <v>6</v>
      </c>
      <c r="C8" s="2" t="s">
        <v>241</v>
      </c>
    </row>
    <row r="9" spans="1:8">
      <c r="A9" s="2" t="s">
        <v>242</v>
      </c>
      <c r="B9" s="6">
        <f ca="1">COUNTIF(Licences_Logicielles!J2:J13,"&lt;=30")+COUNTIF(Certificats!I2:I7,"&lt;=30")+COUNTIF(Materiels!K2:K9,"&lt;=30")+COUNTIF(Applications!J2:J6,"&lt;=30")+COUNTIF(Contrats_Fournisseurs!I2:I7,"&lt;=30")</f>
        <v>11</v>
      </c>
      <c r="C9" s="2" t="s">
        <v>243</v>
      </c>
    </row>
    <row r="10" spans="1:8">
      <c r="A10" s="2" t="s">
        <v>244</v>
      </c>
      <c r="B10" s="6">
        <f ca="1">COUNTIF(Licences_Logicielles!J2:J13,"&lt;=90")+COUNTIF(Certificats!I2:I7,"&lt;=90")+COUNTIF(Materiels!K2:K9,"&lt;=90")+COUNTIF(Applications!J2:J6,"&lt;=90")+COUNTIF(Contrats_Fournisseurs!I2:I7,"&lt;=90")</f>
        <v>15</v>
      </c>
      <c r="C10" s="2" t="s">
        <v>245</v>
      </c>
    </row>
    <row r="11" spans="1:8">
      <c r="A11" s="2" t="s">
        <v>246</v>
      </c>
      <c r="B11" s="4">
        <f>SUM(Licences_Logicielles!M2:M13)+SUM(Materiels!N2:N9)+SUM(Applications!M2:M6)+SUM(Contrats_Fournisseurs!J2:J7)+SUM(Planning_Renouvellement!K2:K7)</f>
        <v>348648560</v>
      </c>
      <c r="C11" s="2" t="s">
        <v>247</v>
      </c>
    </row>
    <row r="13" spans="1:8" ht="15.45">
      <c r="A13" s="7" t="s">
        <v>248</v>
      </c>
      <c r="D13" s="7" t="s">
        <v>249</v>
      </c>
    </row>
    <row r="14" spans="1:8">
      <c r="A14" s="1" t="s">
        <v>200</v>
      </c>
      <c r="B14" s="1" t="s">
        <v>250</v>
      </c>
      <c r="D14" s="1" t="s">
        <v>13</v>
      </c>
      <c r="E14" s="1" t="s">
        <v>251</v>
      </c>
    </row>
    <row r="15" spans="1:8">
      <c r="A15" t="s">
        <v>252</v>
      </c>
      <c r="B15">
        <f>B4</f>
        <v>12</v>
      </c>
      <c r="D15" s="8" t="s">
        <v>253</v>
      </c>
      <c r="E15" t="s">
        <v>254</v>
      </c>
    </row>
    <row r="16" spans="1:8">
      <c r="A16" t="s">
        <v>255</v>
      </c>
      <c r="B16">
        <f>B5</f>
        <v>6</v>
      </c>
      <c r="D16" s="9" t="s">
        <v>256</v>
      </c>
      <c r="E16" t="s">
        <v>257</v>
      </c>
    </row>
    <row r="17" spans="1:5">
      <c r="A17" t="s">
        <v>258</v>
      </c>
      <c r="B17">
        <f>B6</f>
        <v>7</v>
      </c>
      <c r="D17" s="10" t="s">
        <v>259</v>
      </c>
      <c r="E17" t="s">
        <v>260</v>
      </c>
    </row>
    <row r="18" spans="1:5">
      <c r="A18" t="s">
        <v>261</v>
      </c>
      <c r="B18">
        <f>B7</f>
        <v>5</v>
      </c>
    </row>
    <row r="19" spans="1:5">
      <c r="A19" t="s">
        <v>262</v>
      </c>
      <c r="B19">
        <f>B8</f>
        <v>6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Licences_Logicielles</vt:lpstr>
      <vt:lpstr>Certificats</vt:lpstr>
      <vt:lpstr>Materiels</vt:lpstr>
      <vt:lpstr>Applications</vt:lpstr>
      <vt:lpstr>Contrats_Fournisseurs</vt:lpstr>
      <vt:lpstr>Planning_Renouvellement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Arron</dc:creator>
  <cp:lastModifiedBy>Arron</cp:lastModifiedBy>
  <dcterms:created xsi:type="dcterms:W3CDTF">2026-07-09T10:46:20Z</dcterms:created>
  <dcterms:modified xsi:type="dcterms:W3CDTF">2026-07-09T17:13:44Z</dcterms:modified>
</cp:coreProperties>
</file>